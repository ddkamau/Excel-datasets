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DS\Excel\"/>
    </mc:Choice>
  </mc:AlternateContent>
  <bookViews>
    <workbookView xWindow="0" yWindow="0" windowWidth="19200" windowHeight="6930" firstSheet="1" activeTab="3"/>
  </bookViews>
  <sheets>
    <sheet name="Top_Bottom5highestratedproducts" sheetId="9" r:id="rId1"/>
    <sheet name="AvgReview &amp; AvgRatings" sheetId="12" r:id="rId2"/>
    <sheet name="Excel_jumia" sheetId="1" r:id="rId3"/>
    <sheet name="Dashboard" sheetId="13" r:id="rId4"/>
    <sheet name="DataDashboard" sheetId="15" r:id="rId5"/>
    <sheet name="Discount against Reviews" sheetId="5" r:id="rId6"/>
    <sheet name="Ratings against Reviews" sheetId="6" r:id="rId7"/>
    <sheet name="ProductCnt_RatingCategory" sheetId="4" r:id="rId8"/>
    <sheet name="ProductsbyDiscountCategory" sheetId="16" r:id="rId9"/>
    <sheet name="AvgRating&amp;Discount-DiscountCgry" sheetId="3" r:id="rId10"/>
  </sheets>
  <definedNames>
    <definedName name="Slicer_Discount_Category">#N/A</definedName>
    <definedName name="Slicer_Rating_Category">#N/A</definedName>
  </definedNames>
  <calcPr calcId="162913"/>
  <pivotCaches>
    <pivotCache cacheId="15" r:id="rId11"/>
    <pivotCache cacheId="13"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K6" i="13" l="1"/>
  <c r="G6" i="13"/>
  <c r="C6" i="13"/>
  <c r="A6" i="13"/>
  <c r="F114" i="1"/>
  <c r="N4" i="1" l="1"/>
  <c r="L2" i="1" l="1"/>
  <c r="K2" i="1"/>
  <c r="L3" i="1"/>
  <c r="L4" i="1"/>
  <c r="L5" i="1"/>
  <c r="L6" i="1"/>
  <c r="L7" i="1"/>
  <c r="L8" i="1"/>
  <c r="L9" i="1"/>
  <c r="L10" i="1"/>
  <c r="L11" i="1"/>
  <c r="K3" i="1"/>
  <c r="K4" i="1"/>
  <c r="K5" i="1"/>
  <c r="K6" i="1"/>
  <c r="K7" i="1"/>
  <c r="K8" i="1"/>
  <c r="K9" i="1"/>
  <c r="K10" i="1"/>
  <c r="K11" i="1"/>
  <c r="J2" i="1"/>
  <c r="I2" i="1"/>
  <c r="I3" i="1"/>
  <c r="J3" i="1"/>
  <c r="J4" i="1"/>
  <c r="J5" i="1"/>
  <c r="J6" i="1"/>
  <c r="J7" i="1"/>
  <c r="J8" i="1"/>
  <c r="J9" i="1"/>
  <c r="J10" i="1"/>
  <c r="J11" i="1"/>
  <c r="I10" i="1"/>
  <c r="I11" i="1"/>
  <c r="I4" i="1"/>
  <c r="I5" i="1"/>
  <c r="I6" i="1"/>
  <c r="I7" i="1"/>
  <c r="I8" i="1"/>
  <c r="I9" i="1"/>
  <c r="C121" i="1" l="1"/>
  <c r="C118" i="1"/>
  <c r="B121" i="1"/>
  <c r="B118" i="1"/>
  <c r="E2" i="1"/>
  <c r="H2" i="1"/>
  <c r="H3"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6" i="1" l="1"/>
  <c r="C116" i="1"/>
  <c r="B116"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alcChain>
</file>

<file path=xl/sharedStrings.xml><?xml version="1.0" encoding="utf-8"?>
<sst xmlns="http://schemas.openxmlformats.org/spreadsheetml/2006/main" count="241" uniqueCount="151">
  <si>
    <t>Product</t>
  </si>
  <si>
    <t>Current price</t>
  </si>
  <si>
    <t>old price</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</si>
  <si>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</si>
  <si>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</si>
  <si>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</si>
  <si>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</si>
  <si>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</si>
  <si>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</si>
  <si>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</si>
  <si>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</si>
  <si>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</si>
  <si>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</si>
  <si>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</si>
  <si>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</si>
  <si>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</si>
  <si>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</si>
  <si>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</si>
  <si>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</si>
  <si>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</si>
  <si>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</si>
  <si>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</si>
  <si>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</si>
  <si>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</si>
  <si>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</si>
  <si>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</si>
  <si>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</si>
  <si>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</si>
  <si>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</si>
  <si>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</si>
  <si>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</si>
  <si>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</si>
  <si>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</si>
  <si>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</si>
  <si>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</si>
  <si>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</si>
  <si>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</si>
  <si>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</si>
  <si>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</si>
  <si>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</si>
  <si>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</si>
  <si>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</si>
  <si>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</si>
  <si>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</si>
  <si>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</si>
  <si>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</si>
  <si>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</si>
  <si>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</si>
  <si>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</si>
  <si>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</si>
  <si>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</si>
  <si>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</si>
  <si>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</si>
  <si>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</si>
  <si>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</si>
  <si>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</si>
  <si>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</si>
  <si>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</si>
  <si>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</si>
  <si>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</si>
  <si>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</si>
  <si>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</si>
  <si>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</si>
  <si>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</si>
  <si>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</si>
  <si>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</si>
  <si>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</si>
  <si>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</si>
  <si>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</si>
  <si>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</si>
  <si>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</si>
  <si>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</si>
  <si>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</si>
  <si>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</si>
  <si>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</si>
  <si>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</si>
  <si>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</si>
  <si>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</si>
  <si>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</si>
  <si>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</si>
  <si>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</si>
  <si>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</si>
  <si>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</si>
  <si>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</si>
  <si>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</si>
  <si>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</si>
  <si>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</si>
  <si>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</si>
  <si>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</si>
  <si>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</si>
  <si>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</si>
  <si>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</si>
  <si>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</si>
  <si>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</si>
  <si>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</si>
  <si>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</si>
  <si>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</si>
  <si>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</si>
  <si>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</si>
  <si>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</si>
  <si>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</si>
  <si>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</si>
  <si>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</si>
  <si>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</si>
  <si>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</si>
  <si>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</si>
  <si>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</si>
  <si>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</si>
  <si>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</si>
  <si>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</si>
  <si>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</si>
  <si>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</si>
  <si>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</si>
  <si>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</si>
  <si>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Ratings</t>
  </si>
  <si>
    <t>Rating Category</t>
  </si>
  <si>
    <t>Discount Category</t>
  </si>
  <si>
    <t>Average</t>
  </si>
  <si>
    <t>Most expensive product</t>
  </si>
  <si>
    <t>Least expensive product</t>
  </si>
  <si>
    <t>Row Labels</t>
  </si>
  <si>
    <t>(blank)</t>
  </si>
  <si>
    <t>Grand Total</t>
  </si>
  <si>
    <t>Poor</t>
  </si>
  <si>
    <t>Excellent</t>
  </si>
  <si>
    <t>High Discount</t>
  </si>
  <si>
    <t>Low discount</t>
  </si>
  <si>
    <t>Medium Discount</t>
  </si>
  <si>
    <t>Average of Ratings</t>
  </si>
  <si>
    <t>Average of Discount</t>
  </si>
  <si>
    <t>Count of Product</t>
  </si>
  <si>
    <t>Top 5 highest rated products</t>
  </si>
  <si>
    <t>Top 10 Highest discount</t>
  </si>
  <si>
    <t>Top 10 highest discounted products</t>
  </si>
  <si>
    <t>Top 10 reviews</t>
  </si>
  <si>
    <t>Top 10 highly reviwed products</t>
  </si>
  <si>
    <t>Top 5 highest ratings</t>
  </si>
  <si>
    <t>Max of Ratings</t>
  </si>
  <si>
    <t>Min of Ratings</t>
  </si>
  <si>
    <t>Average of Review</t>
  </si>
  <si>
    <t>Sum of Review</t>
  </si>
  <si>
    <t>Max of Discount</t>
  </si>
  <si>
    <t>Count of Review</t>
  </si>
  <si>
    <t>&lt;0 or (blank)</t>
  </si>
  <si>
    <t>0-9</t>
  </si>
  <si>
    <t>10-19</t>
  </si>
  <si>
    <t>20-29</t>
  </si>
  <si>
    <t>30-39</t>
  </si>
  <si>
    <t>40-49</t>
  </si>
  <si>
    <t>50-59</t>
  </si>
  <si>
    <t>60-69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</si>
</sst>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KES]\ #,##0"/>
    <numFmt numFmtId="165"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Algerian"/>
      <family val="5"/>
    </font>
    <font>
      <sz val="12"/>
      <color theme="1"/>
      <name val="Calibri"/>
      <family val="2"/>
      <scheme val="minor"/>
    </font>
    <font>
      <sz val="2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0">
    <xf numFmtId="0" fontId="0" fillId="0" borderId="0" xfId="0"/>
    <xf numFmtId="9" fontId="0" fillId="0" borderId="0" xfId="0" applyNumberFormat="1"/>
    <xf numFmtId="0" fontId="18" fillId="0" borderId="0" xfId="0" applyFont="1"/>
    <xf numFmtId="9" fontId="18" fillId="0" borderId="0" xfId="0" applyNumberFormat="1" applyFont="1"/>
    <xf numFmtId="164" fontId="18" fillId="0" borderId="0" xfId="0" applyNumberFormat="1" applyFont="1"/>
    <xf numFmtId="164" fontId="0" fillId="0" borderId="0" xfId="0" applyNumberFormat="1"/>
    <xf numFmtId="165" fontId="0" fillId="0" borderId="0" xfId="0" applyNumberFormat="1"/>
    <xf numFmtId="165" fontId="18" fillId="0" borderId="0" xfId="0" applyNumberFormat="1" applyFont="1"/>
    <xf numFmtId="1" fontId="18" fillId="0" borderId="0" xfId="0" applyNumberFormat="1" applyFon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applyAlignment="1">
      <alignment horizontal="left"/>
    </xf>
    <xf numFmtId="10" fontId="0" fillId="0" borderId="0" xfId="0" applyNumberFormat="1"/>
    <xf numFmtId="0" fontId="0" fillId="33" borderId="0" xfId="0" applyFont="1" applyFill="1"/>
    <xf numFmtId="9" fontId="0" fillId="33" borderId="0" xfId="0" applyNumberFormat="1" applyFont="1" applyFill="1"/>
    <xf numFmtId="0" fontId="19" fillId="33" borderId="0" xfId="0" applyFont="1" applyFill="1"/>
    <xf numFmtId="0" fontId="20" fillId="33" borderId="0" xfId="0" applyFont="1" applyFill="1"/>
    <xf numFmtId="9" fontId="20" fillId="33"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4" formatCode="0.00%"/>
    </dxf>
    <dxf>
      <numFmt numFmtId="14" formatCode="0.00%"/>
    </dxf>
    <dxf>
      <numFmt numFmtId="14"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Assignment.xlsx]DataDashboard!PivotTable9</c:name>
    <c:fmtId val="7"/>
  </c:pivotSource>
  <c:chart>
    <c:title>
      <c:tx>
        <c:rich>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r>
              <a:rPr lang="en-US"/>
              <a:t>TOP PRODUCTS BY RATINGS</a:t>
            </a:r>
          </a:p>
        </c:rich>
      </c:tx>
      <c:layout/>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s>
    <c:plotArea>
      <c:layout/>
      <c:radarChart>
        <c:radarStyle val="marker"/>
        <c:varyColors val="0"/>
        <c:ser>
          <c:idx val="0"/>
          <c:order val="0"/>
          <c:tx>
            <c:strRef>
              <c:f>DataDashboard!$B$1</c:f>
              <c:strCache>
                <c:ptCount val="1"/>
                <c:pt idx="0">
                  <c:v>Total</c:v>
                </c:pt>
              </c:strCache>
            </c:strRef>
          </c:tx>
          <c:spPr>
            <a:ln w="28575" cap="rnd">
              <a:solidFill>
                <a:schemeClr val="accent2"/>
              </a:solidFill>
            </a:ln>
            <a:effectLst>
              <a:glow rad="76200">
                <a:schemeClr val="accent2">
                  <a:satMod val="175000"/>
                  <a:alpha val="3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DataDashboard!$A$2:$A$9</c:f>
              <c:strCache>
                <c:ptCount val="7"/>
                <c:pt idx="0">
                  <c:v>Anti-Skid Absorbent Insulation Coaster  For Home Office</c:v>
                </c:pt>
                <c:pt idx="1">
                  <c:v>Bedroom Simple Floor Hanging Clothes Rack Single Pole Hat Rack - White</c:v>
                </c:pt>
                <c:pt idx="2">
                  <c:v>Classic Black Cat Cotton Hemp Pillow Case For Home Car</c:v>
                </c:pt>
                <c:pt idx="3">
                  <c:v>DIY File Folder, Office Drawer File Holder, Pen Holder, Desktop Storage Rack</c:v>
                </c:pt>
                <c:pt idx="4">
                  <c:v>Konka Healty Electric Kettle, 24-hour Heat Preservation,1.5L,800W, White</c:v>
                </c:pt>
                <c:pt idx="5">
                  <c:v>LASA Aluminum Folding Truck Hand Cart - 68kg Max</c:v>
                </c:pt>
                <c:pt idx="6">
                  <c:v>Peacock  Throw Pillow Cushion Case For Home Car</c:v>
                </c:pt>
              </c:strCache>
            </c:strRef>
          </c:cat>
          <c:val>
            <c:numRef>
              <c:f>DataDashboard!$B$2:$B$9</c:f>
              <c:numCache>
                <c:formatCode>General</c:formatCode>
                <c:ptCount val="7"/>
                <c:pt idx="0">
                  <c:v>5</c:v>
                </c:pt>
                <c:pt idx="1">
                  <c:v>5</c:v>
                </c:pt>
                <c:pt idx="2">
                  <c:v>5</c:v>
                </c:pt>
                <c:pt idx="3">
                  <c:v>5</c:v>
                </c:pt>
                <c:pt idx="4">
                  <c:v>5</c:v>
                </c:pt>
                <c:pt idx="5">
                  <c:v>5</c:v>
                </c:pt>
                <c:pt idx="6">
                  <c:v>5</c:v>
                </c:pt>
              </c:numCache>
            </c:numRef>
          </c:val>
          <c:extLst>
            <c:ext xmlns:c16="http://schemas.microsoft.com/office/drawing/2014/chart" uri="{C3380CC4-5D6E-409C-BE32-E72D297353CC}">
              <c16:uniqueId val="{00000000-1F23-417E-B34B-4C6201BEE132}"/>
            </c:ext>
          </c:extLst>
        </c:ser>
        <c:dLbls>
          <c:showLegendKey val="0"/>
          <c:showVal val="0"/>
          <c:showCatName val="0"/>
          <c:showSerName val="0"/>
          <c:showPercent val="0"/>
          <c:showBubbleSize val="0"/>
        </c:dLbls>
        <c:axId val="1893648735"/>
        <c:axId val="1893642911"/>
      </c:radarChart>
      <c:catAx>
        <c:axId val="1893648735"/>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3642911"/>
        <c:crosses val="autoZero"/>
        <c:auto val="1"/>
        <c:lblAlgn val="ctr"/>
        <c:lblOffset val="100"/>
        <c:noMultiLvlLbl val="0"/>
      </c:catAx>
      <c:valAx>
        <c:axId val="1893642911"/>
        <c:scaling>
          <c:orientation val="minMax"/>
        </c:scaling>
        <c:delete val="0"/>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364873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Assignment.xlsx]DataDashboard!PivotTable12</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PRODUCTS BY # OF REVIEWS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barChart>
        <c:barDir val="bar"/>
        <c:grouping val="clustered"/>
        <c:varyColors val="0"/>
        <c:ser>
          <c:idx val="0"/>
          <c:order val="0"/>
          <c:tx>
            <c:strRef>
              <c:f>DataDashboard!$B$11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DataDashboard!$A$12:$A$17</c:f>
              <c:strCache>
                <c:ptCount val="5"/>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strCache>
            </c:strRef>
          </c:cat>
          <c:val>
            <c:numRef>
              <c:f>DataDashboard!$B$12:$B$17</c:f>
              <c:numCache>
                <c:formatCode>General</c:formatCode>
                <c:ptCount val="5"/>
                <c:pt idx="0">
                  <c:v>69</c:v>
                </c:pt>
                <c:pt idx="1">
                  <c:v>55</c:v>
                </c:pt>
                <c:pt idx="2">
                  <c:v>49</c:v>
                </c:pt>
                <c:pt idx="3">
                  <c:v>44</c:v>
                </c:pt>
                <c:pt idx="4">
                  <c:v>39</c:v>
                </c:pt>
              </c:numCache>
            </c:numRef>
          </c:val>
          <c:extLst>
            <c:ext xmlns:c16="http://schemas.microsoft.com/office/drawing/2014/chart" uri="{C3380CC4-5D6E-409C-BE32-E72D297353CC}">
              <c16:uniqueId val="{00000000-5E24-4D45-A833-52EAECFA391F}"/>
            </c:ext>
          </c:extLst>
        </c:ser>
        <c:dLbls>
          <c:dLblPos val="outEnd"/>
          <c:showLegendKey val="0"/>
          <c:showVal val="1"/>
          <c:showCatName val="0"/>
          <c:showSerName val="0"/>
          <c:showPercent val="0"/>
          <c:showBubbleSize val="0"/>
        </c:dLbls>
        <c:gapWidth val="115"/>
        <c:overlap val="-20"/>
        <c:axId val="1883395919"/>
        <c:axId val="1892871887"/>
      </c:barChart>
      <c:catAx>
        <c:axId val="188339591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2871887"/>
        <c:crosses val="autoZero"/>
        <c:auto val="1"/>
        <c:lblAlgn val="ctr"/>
        <c:lblOffset val="100"/>
        <c:noMultiLvlLbl val="0"/>
      </c:catAx>
      <c:valAx>
        <c:axId val="189287188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339591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Assignment.xlsx]DataDashboard!PivotTable13</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PRODUCTS BY DISCOUNT %</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DataDashboard!$B$19</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DataDashboard!$A$20:$A$25</c:f>
              <c:strCache>
                <c:ptCount val="5"/>
                <c:pt idx="0">
                  <c:v>6 In 1 Bottle Can Opener Multifunctional Easy Opener</c:v>
                </c:pt>
                <c:pt idx="1">
                  <c:v>Creative Owl Shape Keychain Black</c:v>
                </c:pt>
                <c:pt idx="2">
                  <c:v>Simple Metal Dog Art Sculpture Decoration For Home Office</c:v>
                </c:pt>
                <c:pt idx="3">
                  <c:v>5-PCS Stainless Steel Cooking Pot Set With Steamed Slices</c:v>
                </c:pt>
                <c:pt idx="4">
                  <c:v>LASA FOLDING TABLE SERVING STAND</c:v>
                </c:pt>
              </c:strCache>
            </c:strRef>
          </c:cat>
          <c:val>
            <c:numRef>
              <c:f>DataDashboard!$B$20:$B$25</c:f>
              <c:numCache>
                <c:formatCode>0%</c:formatCode>
                <c:ptCount val="5"/>
                <c:pt idx="0">
                  <c:v>0.64014466546112114</c:v>
                </c:pt>
                <c:pt idx="1">
                  <c:v>0.60515873015873012</c:v>
                </c:pt>
                <c:pt idx="2">
                  <c:v>0.5546875</c:v>
                </c:pt>
                <c:pt idx="3">
                  <c:v>0.55000000000000004</c:v>
                </c:pt>
                <c:pt idx="4">
                  <c:v>0.54500000000000004</c:v>
                </c:pt>
              </c:numCache>
            </c:numRef>
          </c:val>
          <c:extLst>
            <c:ext xmlns:c16="http://schemas.microsoft.com/office/drawing/2014/chart" uri="{C3380CC4-5D6E-409C-BE32-E72D297353CC}">
              <c16:uniqueId val="{00000000-FCDB-4235-A777-573B6CA31A52}"/>
            </c:ext>
          </c:extLst>
        </c:ser>
        <c:dLbls>
          <c:showLegendKey val="0"/>
          <c:showVal val="0"/>
          <c:showCatName val="0"/>
          <c:showSerName val="0"/>
          <c:showPercent val="0"/>
          <c:showBubbleSize val="0"/>
        </c:dLbls>
        <c:gapWidth val="115"/>
        <c:overlap val="-20"/>
        <c:axId val="1889514959"/>
        <c:axId val="1897191599"/>
      </c:barChart>
      <c:valAx>
        <c:axId val="1897191599"/>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9514959"/>
        <c:crosses val="autoZero"/>
        <c:crossBetween val="between"/>
      </c:valAx>
      <c:catAx>
        <c:axId val="18895149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7191599"/>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Assignment.xlsx]Discount against Reviews!PivotTable4</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Discount vs Reviews</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s>
    <c:plotArea>
      <c:layout/>
      <c:barChart>
        <c:barDir val="col"/>
        <c:grouping val="clustered"/>
        <c:varyColors val="0"/>
        <c:ser>
          <c:idx val="0"/>
          <c:order val="0"/>
          <c:tx>
            <c:strRef>
              <c:f>'Discount against Reviews'!$Q$1</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'Discount against Reviews'!$P$2:$P$10</c:f>
              <c:strCache>
                <c:ptCount val="8"/>
                <c:pt idx="0">
                  <c:v>&lt;0 or (blank)</c:v>
                </c:pt>
                <c:pt idx="1">
                  <c:v>0-9</c:v>
                </c:pt>
                <c:pt idx="2">
                  <c:v>10-19</c:v>
                </c:pt>
                <c:pt idx="3">
                  <c:v>20-29</c:v>
                </c:pt>
                <c:pt idx="4">
                  <c:v>30-39</c:v>
                </c:pt>
                <c:pt idx="5">
                  <c:v>40-49</c:v>
                </c:pt>
                <c:pt idx="6">
                  <c:v>50-59</c:v>
                </c:pt>
                <c:pt idx="7">
                  <c:v>60-69</c:v>
                </c:pt>
              </c:strCache>
            </c:strRef>
          </c:cat>
          <c:val>
            <c:numRef>
              <c:f>'Discount against Reviews'!$Q$2:$Q$10</c:f>
              <c:numCache>
                <c:formatCode>0.00%</c:formatCode>
                <c:ptCount val="8"/>
                <c:pt idx="0">
                  <c:v>0.36714123251752773</c:v>
                </c:pt>
                <c:pt idx="1">
                  <c:v>0.37065118035667638</c:v>
                </c:pt>
                <c:pt idx="2">
                  <c:v>0.36488078620945863</c:v>
                </c:pt>
                <c:pt idx="3">
                  <c:v>0.27071128814941697</c:v>
                </c:pt>
                <c:pt idx="4">
                  <c:v>0.33780238540621793</c:v>
                </c:pt>
                <c:pt idx="5">
                  <c:v>0.42161018614750606</c:v>
                </c:pt>
                <c:pt idx="6">
                  <c:v>0.23515831134564644</c:v>
                </c:pt>
                <c:pt idx="7">
                  <c:v>0.49026345933562426</c:v>
                </c:pt>
              </c:numCache>
            </c:numRef>
          </c:val>
          <c:extLst>
            <c:ext xmlns:c16="http://schemas.microsoft.com/office/drawing/2014/chart" uri="{C3380CC4-5D6E-409C-BE32-E72D297353CC}">
              <c16:uniqueId val="{00000000-8851-47AF-A6F1-CE2145B3A205}"/>
            </c:ext>
          </c:extLst>
        </c:ser>
        <c:dLbls>
          <c:showLegendKey val="0"/>
          <c:showVal val="0"/>
          <c:showCatName val="0"/>
          <c:showSerName val="0"/>
          <c:showPercent val="0"/>
          <c:showBubbleSize val="0"/>
        </c:dLbls>
        <c:gapWidth val="315"/>
        <c:overlap val="-40"/>
        <c:axId val="1893646655"/>
        <c:axId val="1893648319"/>
      </c:barChart>
      <c:catAx>
        <c:axId val="189364665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GB"/>
                  <a:t>Reviews</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3648319"/>
        <c:crosses val="autoZero"/>
        <c:auto val="1"/>
        <c:lblAlgn val="ctr"/>
        <c:lblOffset val="100"/>
        <c:noMultiLvlLbl val="0"/>
      </c:catAx>
      <c:valAx>
        <c:axId val="189364831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GB"/>
                  <a:t>Discount</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364665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Assignment.xlsx]Ratings against Reviews!PivotTable3</c:name>
    <c:fmtId val="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Ratings vs Reviews</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spPr>
          <a:ln w="22225" cap="rnd">
            <a:solidFill>
              <a:schemeClr val="accent2"/>
            </a:solidFill>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layout/>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'Ratings against Reviews'!$P$1</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'Ratings against Reviews'!$O$2:$O$25</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2">
                  <c:v>(blank)</c:v>
                </c:pt>
              </c:strCache>
            </c:strRef>
          </c:cat>
          <c:val>
            <c:numRef>
              <c:f>'Ratings against Reviews'!$P$2:$P$25</c:f>
              <c:numCache>
                <c:formatCode>General</c:formatCode>
                <c:ptCount val="23"/>
                <c:pt idx="0">
                  <c:v>1</c:v>
                </c:pt>
                <c:pt idx="1">
                  <c:v>2</c:v>
                </c:pt>
                <c:pt idx="2">
                  <c:v>2</c:v>
                </c:pt>
                <c:pt idx="3">
                  <c:v>2</c:v>
                </c:pt>
                <c:pt idx="4">
                  <c:v>1</c:v>
                </c:pt>
                <c:pt idx="5">
                  <c:v>1</c:v>
                </c:pt>
                <c:pt idx="6">
                  <c:v>1</c:v>
                </c:pt>
                <c:pt idx="7">
                  <c:v>1</c:v>
                </c:pt>
                <c:pt idx="8">
                  <c:v>1</c:v>
                </c:pt>
                <c:pt idx="9">
                  <c:v>5</c:v>
                </c:pt>
                <c:pt idx="10">
                  <c:v>1</c:v>
                </c:pt>
                <c:pt idx="11">
                  <c:v>58</c:v>
                </c:pt>
                <c:pt idx="12">
                  <c:v>4</c:v>
                </c:pt>
                <c:pt idx="13">
                  <c:v>3</c:v>
                </c:pt>
                <c:pt idx="14">
                  <c:v>1</c:v>
                </c:pt>
                <c:pt idx="15">
                  <c:v>4</c:v>
                </c:pt>
                <c:pt idx="16">
                  <c:v>1</c:v>
                </c:pt>
                <c:pt idx="17">
                  <c:v>4</c:v>
                </c:pt>
                <c:pt idx="18">
                  <c:v>5</c:v>
                </c:pt>
                <c:pt idx="19">
                  <c:v>4</c:v>
                </c:pt>
                <c:pt idx="20">
                  <c:v>3</c:v>
                </c:pt>
                <c:pt idx="21">
                  <c:v>7</c:v>
                </c:pt>
              </c:numCache>
            </c:numRef>
          </c:val>
          <c:smooth val="0"/>
          <c:extLst>
            <c:ext xmlns:c16="http://schemas.microsoft.com/office/drawing/2014/chart" uri="{C3380CC4-5D6E-409C-BE32-E72D297353CC}">
              <c16:uniqueId val="{00000000-1B14-49A6-9955-5B89E4FB8610}"/>
            </c:ext>
          </c:extLst>
        </c:ser>
        <c:dLbls>
          <c:dLblPos val="ctr"/>
          <c:showLegendKey val="0"/>
          <c:showVal val="1"/>
          <c:showCatName val="0"/>
          <c:showSerName val="0"/>
          <c:showPercent val="0"/>
          <c:showBubbleSize val="0"/>
        </c:dLbls>
        <c:marker val="1"/>
        <c:smooth val="0"/>
        <c:axId val="1823760127"/>
        <c:axId val="1823760543"/>
      </c:lineChart>
      <c:catAx>
        <c:axId val="18237601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23760543"/>
        <c:crosses val="autoZero"/>
        <c:auto val="1"/>
        <c:lblAlgn val="ctr"/>
        <c:lblOffset val="100"/>
        <c:noMultiLvlLbl val="0"/>
      </c:catAx>
      <c:valAx>
        <c:axId val="182376054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2376012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 Assignment.xlsx]ProductsbyDiscountCategory!PivotTable5</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 OF PRODUCTS BY DISCOUNT CATEGORY</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
      </c:pivotFmt>
      <c:pivotFmt>
        <c:idx val="3"/>
      </c:pivotFmt>
      <c:pivotFmt>
        <c:idx val="4"/>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ProductsbyDiscountCategory!$B$2</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900-4B66-8861-00995824B17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900-4B66-8861-00995824B170}"/>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900-4B66-8861-00995824B170}"/>
              </c:ext>
            </c:extLst>
          </c:dPt>
          <c:dLbls>
            <c:delete val="1"/>
          </c:dLbls>
          <c:cat>
            <c:strRef>
              <c:f>ProductsbyDiscountCategory!$A$3:$A$6</c:f>
              <c:strCache>
                <c:ptCount val="3"/>
                <c:pt idx="0">
                  <c:v>High Discount</c:v>
                </c:pt>
                <c:pt idx="1">
                  <c:v>Low discount</c:v>
                </c:pt>
                <c:pt idx="2">
                  <c:v>Medium Discount</c:v>
                </c:pt>
              </c:strCache>
            </c:strRef>
          </c:cat>
          <c:val>
            <c:numRef>
              <c:f>ProductsbyDiscountCategory!$B$3:$B$6</c:f>
              <c:numCache>
                <c:formatCode>General</c:formatCode>
                <c:ptCount val="3"/>
                <c:pt idx="0">
                  <c:v>62</c:v>
                </c:pt>
                <c:pt idx="1">
                  <c:v>18</c:v>
                </c:pt>
                <c:pt idx="2">
                  <c:v>32</c:v>
                </c:pt>
              </c:numCache>
            </c:numRef>
          </c:val>
          <c:extLst>
            <c:ext xmlns:c16="http://schemas.microsoft.com/office/drawing/2014/chart" uri="{C3380CC4-5D6E-409C-BE32-E72D297353CC}">
              <c16:uniqueId val="{00000006-5900-4B66-8861-00995824B170}"/>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 Assignment.xlsx]ProductCnt_RatingCategory!PivotTable2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 OF PRODUCTS BY RATING CATEGORYl</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showLegendKey val="0"/>
          <c:showVal val="1"/>
          <c:showCatName val="0"/>
          <c:showSerName val="0"/>
          <c:showPercent val="0"/>
          <c:showBubbleSize val="0"/>
          <c:extLst>
            <c:ext xmlns:c15="http://schemas.microsoft.com/office/drawing/2012/chart" uri="{CE6537A1-D6FC-4f65-9D91-7224C49458BB}">
              <c15:layout/>
            </c:ext>
          </c:extLst>
        </c:dLbl>
      </c:pivotFmt>
      <c:pivotFmt>
        <c:idx val="2"/>
      </c:pivotFmt>
      <c:pivotFmt>
        <c:idx val="3"/>
      </c:pivotFmt>
      <c:pivotFmt>
        <c:idx val="4"/>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doughnutChart>
        <c:varyColors val="1"/>
        <c:ser>
          <c:idx val="0"/>
          <c:order val="0"/>
          <c:tx>
            <c:strRef>
              <c:f>ProductCnt_RatingCategory!$B$3</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0E6-4D50-9011-8E8D56A10EA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0E6-4D50-9011-8E8D56A10EAF}"/>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0E6-4D50-9011-8E8D56A10EAF}"/>
              </c:ext>
            </c:extLst>
          </c:dPt>
          <c:dLbls>
            <c:delete val="1"/>
          </c:dLbls>
          <c:cat>
            <c:strRef>
              <c:f>ProductCnt_RatingCategory!$A$4:$A$7</c:f>
              <c:strCache>
                <c:ptCount val="3"/>
                <c:pt idx="0">
                  <c:v>Average</c:v>
                </c:pt>
                <c:pt idx="1">
                  <c:v>Excellent</c:v>
                </c:pt>
                <c:pt idx="2">
                  <c:v>Poor</c:v>
                </c:pt>
              </c:strCache>
            </c:strRef>
          </c:cat>
          <c:val>
            <c:numRef>
              <c:f>ProductCnt_RatingCategory!$B$4:$B$7</c:f>
              <c:numCache>
                <c:formatCode>General</c:formatCode>
                <c:ptCount val="3"/>
                <c:pt idx="0">
                  <c:v>77</c:v>
                </c:pt>
                <c:pt idx="1">
                  <c:v>23</c:v>
                </c:pt>
                <c:pt idx="2">
                  <c:v>12</c:v>
                </c:pt>
              </c:numCache>
            </c:numRef>
          </c:val>
          <c:extLst>
            <c:ext xmlns:c16="http://schemas.microsoft.com/office/drawing/2014/chart" uri="{C3380CC4-5D6E-409C-BE32-E72D297353CC}">
              <c16:uniqueId val="{00000006-C0E6-4D50-9011-8E8D56A10EA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431800</xdr:colOff>
      <xdr:row>0</xdr:row>
      <xdr:rowOff>44450</xdr:rowOff>
    </xdr:from>
    <xdr:to>
      <xdr:col>17</xdr:col>
      <xdr:colOff>527050</xdr:colOff>
      <xdr:row>2</xdr:row>
      <xdr:rowOff>114300</xdr:rowOff>
    </xdr:to>
    <xdr:sp macro="" textlink="">
      <xdr:nvSpPr>
        <xdr:cNvPr id="2" name="TextBox 1"/>
        <xdr:cNvSpPr txBox="1"/>
      </xdr:nvSpPr>
      <xdr:spPr>
        <a:xfrm>
          <a:off x="7848600" y="44450"/>
          <a:ext cx="4362450" cy="45085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a:solidFill>
                <a:schemeClr val="tx1"/>
              </a:solidFill>
            </a:rPr>
            <a:t>DASHBOARD</a:t>
          </a:r>
        </a:p>
      </xdr:txBody>
    </xdr:sp>
    <xdr:clientData/>
  </xdr:twoCellAnchor>
  <xdr:twoCellAnchor>
    <xdr:from>
      <xdr:col>0</xdr:col>
      <xdr:colOff>25400</xdr:colOff>
      <xdr:row>3</xdr:row>
      <xdr:rowOff>6350</xdr:rowOff>
    </xdr:from>
    <xdr:to>
      <xdr:col>1</xdr:col>
      <xdr:colOff>19050</xdr:colOff>
      <xdr:row>5</xdr:row>
      <xdr:rowOff>0</xdr:rowOff>
    </xdr:to>
    <xdr:sp macro="" textlink="">
      <xdr:nvSpPr>
        <xdr:cNvPr id="5" name="TextBox 4"/>
        <xdr:cNvSpPr txBox="1"/>
      </xdr:nvSpPr>
      <xdr:spPr>
        <a:xfrm>
          <a:off x="25400" y="558800"/>
          <a:ext cx="1485900" cy="36195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TOTAL</a:t>
          </a:r>
          <a:r>
            <a:rPr lang="en-GB" sz="1100" baseline="0"/>
            <a:t> PRODUCT</a:t>
          </a:r>
          <a:endParaRPr lang="en-GB" sz="1100"/>
        </a:p>
      </xdr:txBody>
    </xdr:sp>
    <xdr:clientData/>
  </xdr:twoCellAnchor>
  <xdr:twoCellAnchor>
    <xdr:from>
      <xdr:col>2</xdr:col>
      <xdr:colOff>0</xdr:colOff>
      <xdr:row>2</xdr:row>
      <xdr:rowOff>158750</xdr:rowOff>
    </xdr:from>
    <xdr:to>
      <xdr:col>3</xdr:col>
      <xdr:colOff>603250</xdr:colOff>
      <xdr:row>5</xdr:row>
      <xdr:rowOff>25400</xdr:rowOff>
    </xdr:to>
    <xdr:sp macro="" textlink="">
      <xdr:nvSpPr>
        <xdr:cNvPr id="6" name="TextBox 5"/>
        <xdr:cNvSpPr txBox="1"/>
      </xdr:nvSpPr>
      <xdr:spPr>
        <a:xfrm>
          <a:off x="2317750" y="527050"/>
          <a:ext cx="1428750" cy="4191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AVERAGE RATING</a:t>
          </a:r>
        </a:p>
      </xdr:txBody>
    </xdr:sp>
    <xdr:clientData/>
  </xdr:twoCellAnchor>
  <xdr:twoCellAnchor>
    <xdr:from>
      <xdr:col>6</xdr:col>
      <xdr:colOff>19050</xdr:colOff>
      <xdr:row>2</xdr:row>
      <xdr:rowOff>165100</xdr:rowOff>
    </xdr:from>
    <xdr:to>
      <xdr:col>8</xdr:col>
      <xdr:colOff>158750</xdr:colOff>
      <xdr:row>4</xdr:row>
      <xdr:rowOff>146050</xdr:rowOff>
    </xdr:to>
    <xdr:sp macro="" textlink="">
      <xdr:nvSpPr>
        <xdr:cNvPr id="7" name="TextBox 6"/>
        <xdr:cNvSpPr txBox="1"/>
      </xdr:nvSpPr>
      <xdr:spPr>
        <a:xfrm>
          <a:off x="4991100" y="533400"/>
          <a:ext cx="1358900" cy="34925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AVERAGE DICOUNT %</a:t>
          </a:r>
        </a:p>
      </xdr:txBody>
    </xdr:sp>
    <xdr:clientData/>
  </xdr:twoCellAnchor>
  <xdr:twoCellAnchor>
    <xdr:from>
      <xdr:col>10</xdr:col>
      <xdr:colOff>0</xdr:colOff>
      <xdr:row>2</xdr:row>
      <xdr:rowOff>127000</xdr:rowOff>
    </xdr:from>
    <xdr:to>
      <xdr:col>12</xdr:col>
      <xdr:colOff>165100</xdr:colOff>
      <xdr:row>4</xdr:row>
      <xdr:rowOff>127000</xdr:rowOff>
    </xdr:to>
    <xdr:sp macro="" textlink="">
      <xdr:nvSpPr>
        <xdr:cNvPr id="8" name="TextBox 7"/>
        <xdr:cNvSpPr txBox="1"/>
      </xdr:nvSpPr>
      <xdr:spPr>
        <a:xfrm>
          <a:off x="7402286" y="489857"/>
          <a:ext cx="1380671" cy="362857"/>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TOTAL</a:t>
          </a:r>
          <a:r>
            <a:rPr lang="en-GB" sz="1100" baseline="0"/>
            <a:t> REVIEW NUMBER</a:t>
          </a:r>
          <a:endParaRPr lang="en-GB" sz="1100"/>
        </a:p>
      </xdr:txBody>
    </xdr:sp>
    <xdr:clientData/>
  </xdr:twoCellAnchor>
  <xdr:twoCellAnchor>
    <xdr:from>
      <xdr:col>0</xdr:col>
      <xdr:colOff>0</xdr:colOff>
      <xdr:row>9</xdr:row>
      <xdr:rowOff>12700</xdr:rowOff>
    </xdr:from>
    <xdr:to>
      <xdr:col>6</xdr:col>
      <xdr:colOff>266699</xdr:colOff>
      <xdr:row>24</xdr:row>
      <xdr:rowOff>12700</xdr:rowOff>
    </xdr:to>
    <xdr:graphicFrame macro="">
      <xdr:nvGraphicFramePr>
        <xdr:cNvPr id="9"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114300</xdr:rowOff>
    </xdr:from>
    <xdr:to>
      <xdr:col>6</xdr:col>
      <xdr:colOff>301625</xdr:colOff>
      <xdr:row>39</xdr:row>
      <xdr:rowOff>127000</xdr:rowOff>
    </xdr:to>
    <xdr:graphicFrame macro="">
      <xdr:nvGraphicFramePr>
        <xdr:cNvPr id="10"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50800</xdr:colOff>
      <xdr:row>40</xdr:row>
      <xdr:rowOff>82550</xdr:rowOff>
    </xdr:from>
    <xdr:to>
      <xdr:col>6</xdr:col>
      <xdr:colOff>384174</xdr:colOff>
      <xdr:row>54</xdr:row>
      <xdr:rowOff>152400</xdr:rowOff>
    </xdr:to>
    <xdr:graphicFrame macro="">
      <xdr:nvGraphicFramePr>
        <xdr:cNvPr id="11"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xdr:row>
      <xdr:rowOff>31750</xdr:rowOff>
    </xdr:from>
    <xdr:to>
      <xdr:col>3</xdr:col>
      <xdr:colOff>18142</xdr:colOff>
      <xdr:row>8</xdr:row>
      <xdr:rowOff>4536</xdr:rowOff>
    </xdr:to>
    <xdr:sp macro="" textlink="">
      <xdr:nvSpPr>
        <xdr:cNvPr id="12" name="TextBox 11"/>
        <xdr:cNvSpPr txBox="1"/>
      </xdr:nvSpPr>
      <xdr:spPr>
        <a:xfrm>
          <a:off x="0" y="1349375"/>
          <a:ext cx="3161392" cy="353786"/>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t>PRODUCT CATEGORIES</a:t>
          </a:r>
        </a:p>
      </xdr:txBody>
    </xdr:sp>
    <xdr:clientData/>
  </xdr:twoCellAnchor>
  <xdr:twoCellAnchor>
    <xdr:from>
      <xdr:col>7</xdr:col>
      <xdr:colOff>530679</xdr:colOff>
      <xdr:row>5</xdr:row>
      <xdr:rowOff>360590</xdr:rowOff>
    </xdr:from>
    <xdr:to>
      <xdr:col>13</xdr:col>
      <xdr:colOff>439965</xdr:colOff>
      <xdr:row>8</xdr:row>
      <xdr:rowOff>58964</xdr:rowOff>
    </xdr:to>
    <xdr:sp macro="" textlink="">
      <xdr:nvSpPr>
        <xdr:cNvPr id="13" name="TextBox 12"/>
        <xdr:cNvSpPr txBox="1"/>
      </xdr:nvSpPr>
      <xdr:spPr>
        <a:xfrm>
          <a:off x="6086929" y="1313090"/>
          <a:ext cx="3528786" cy="444499"/>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t>TREND ANALYSIS</a:t>
          </a:r>
        </a:p>
      </xdr:txBody>
    </xdr:sp>
    <xdr:clientData/>
  </xdr:twoCellAnchor>
  <xdr:twoCellAnchor>
    <xdr:from>
      <xdr:col>7</xdr:col>
      <xdr:colOff>111125</xdr:colOff>
      <xdr:row>9</xdr:row>
      <xdr:rowOff>6804</xdr:rowOff>
    </xdr:from>
    <xdr:to>
      <xdr:col>16</xdr:col>
      <xdr:colOff>539750</xdr:colOff>
      <xdr:row>24</xdr:row>
      <xdr:rowOff>28575</xdr:rowOff>
    </xdr:to>
    <xdr:graphicFrame macro="">
      <xdr:nvGraphicFramePr>
        <xdr:cNvPr id="15"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127001</xdr:colOff>
      <xdr:row>24</xdr:row>
      <xdr:rowOff>100693</xdr:rowOff>
    </xdr:from>
    <xdr:to>
      <xdr:col>16</xdr:col>
      <xdr:colOff>555625</xdr:colOff>
      <xdr:row>39</xdr:row>
      <xdr:rowOff>158750</xdr:rowOff>
    </xdr:to>
    <xdr:graphicFrame macro="">
      <xdr:nvGraphicFramePr>
        <xdr:cNvPr id="16"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387804</xdr:colOff>
      <xdr:row>6</xdr:row>
      <xdr:rowOff>27215</xdr:rowOff>
    </xdr:from>
    <xdr:to>
      <xdr:col>27</xdr:col>
      <xdr:colOff>405947</xdr:colOff>
      <xdr:row>8</xdr:row>
      <xdr:rowOff>145143</xdr:rowOff>
    </xdr:to>
    <xdr:sp macro="" textlink="">
      <xdr:nvSpPr>
        <xdr:cNvPr id="17" name="TextBox 16"/>
        <xdr:cNvSpPr txBox="1"/>
      </xdr:nvSpPr>
      <xdr:spPr>
        <a:xfrm>
          <a:off x="13786304" y="1344840"/>
          <a:ext cx="4240893" cy="498928"/>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t>PRODUCT CATEGORIES</a:t>
          </a:r>
        </a:p>
      </xdr:txBody>
    </xdr:sp>
    <xdr:clientData/>
  </xdr:twoCellAnchor>
  <xdr:twoCellAnchor>
    <xdr:from>
      <xdr:col>18</xdr:col>
      <xdr:colOff>158750</xdr:colOff>
      <xdr:row>9</xdr:row>
      <xdr:rowOff>66221</xdr:rowOff>
    </xdr:from>
    <xdr:to>
      <xdr:col>28</xdr:col>
      <xdr:colOff>29937</xdr:colOff>
      <xdr:row>24</xdr:row>
      <xdr:rowOff>87992</xdr:rowOff>
    </xdr:to>
    <xdr:graphicFrame macro="">
      <xdr:nvGraphicFramePr>
        <xdr:cNvPr id="18"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158750</xdr:colOff>
      <xdr:row>24</xdr:row>
      <xdr:rowOff>129721</xdr:rowOff>
    </xdr:from>
    <xdr:to>
      <xdr:col>28</xdr:col>
      <xdr:colOff>41275</xdr:colOff>
      <xdr:row>39</xdr:row>
      <xdr:rowOff>151492</xdr:rowOff>
    </xdr:to>
    <xdr:graphicFrame macro="">
      <xdr:nvGraphicFramePr>
        <xdr:cNvPr id="19"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28</xdr:col>
      <xdr:colOff>94796</xdr:colOff>
      <xdr:row>12</xdr:row>
      <xdr:rowOff>152401</xdr:rowOff>
    </xdr:from>
    <xdr:to>
      <xdr:col>31</xdr:col>
      <xdr:colOff>100239</xdr:colOff>
      <xdr:row>19</xdr:row>
      <xdr:rowOff>113393</xdr:rowOff>
    </xdr:to>
    <mc:AlternateContent xmlns:mc="http://schemas.openxmlformats.org/markup-compatibility/2006">
      <mc:Choice xmlns:a14="http://schemas.microsoft.com/office/drawing/2010/main" Requires="a14">
        <xdr:graphicFrame macro="">
          <xdr:nvGraphicFramePr>
            <xdr:cNvPr id="23" name="Discount Category"/>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dr:sp macro="" textlink="">
          <xdr:nvSpPr>
            <xdr:cNvPr id="0" name=""/>
            <xdr:cNvSpPr>
              <a:spLocks noTextEdit="1"/>
            </xdr:cNvSpPr>
          </xdr:nvSpPr>
          <xdr:spPr>
            <a:xfrm>
              <a:off x="18484396" y="2628901"/>
              <a:ext cx="1834243" cy="129449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83457</xdr:colOff>
      <xdr:row>28</xdr:row>
      <xdr:rowOff>68490</xdr:rowOff>
    </xdr:from>
    <xdr:to>
      <xdr:col>31</xdr:col>
      <xdr:colOff>88900</xdr:colOff>
      <xdr:row>34</xdr:row>
      <xdr:rowOff>124733</xdr:rowOff>
    </xdr:to>
    <mc:AlternateContent xmlns:mc="http://schemas.openxmlformats.org/markup-compatibility/2006">
      <mc:Choice xmlns:a14="http://schemas.microsoft.com/office/drawing/2010/main" Requires="a14">
        <xdr:graphicFrame macro="">
          <xdr:nvGraphicFramePr>
            <xdr:cNvPr id="24" name="Rating Category"/>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dr:sp macro="" textlink="">
          <xdr:nvSpPr>
            <xdr:cNvPr id="0" name=""/>
            <xdr:cNvSpPr>
              <a:spLocks noTextEdit="1"/>
            </xdr:cNvSpPr>
          </xdr:nvSpPr>
          <xdr:spPr>
            <a:xfrm>
              <a:off x="18473057" y="5592990"/>
              <a:ext cx="1834243" cy="119924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dmin" refreshedDate="46050.008158101853" createdVersion="6" refreshedVersion="6" minRefreshableVersion="3" recordCount="120">
  <cacheSource type="worksheet">
    <worksheetSource ref="A1:H121" sheet="Excel_jumia"/>
  </cacheSource>
  <cacheFields count="8">
    <cacheField name="Product" numFmtId="0">
      <sharedItems containsBlank="1"/>
    </cacheField>
    <cacheField name="Current price" numFmtId="0">
      <sharedItems containsBlank="1" containsMixedTypes="1" containsNumber="1" minValue="38" maxValue="3750" count="108">
        <n v="950"/>
        <n v="527"/>
        <n v="2199"/>
        <n v="1580"/>
        <n v="1740"/>
        <n v="2999"/>
        <n v="2319"/>
        <n v="988"/>
        <n v="1274"/>
        <n v="1600"/>
        <n v="799"/>
        <n v="990"/>
        <n v="552"/>
        <n v="501"/>
        <n v="1680"/>
        <n v="332"/>
        <n v="195"/>
        <n v="2025"/>
        <n v="998"/>
        <n v="38"/>
        <n v="1860"/>
        <n v="880"/>
        <n v="1650"/>
        <n v="2048"/>
        <n v="420"/>
        <n v="2880"/>
        <n v="1350"/>
        <n v="1758"/>
        <n v="2200"/>
        <n v="185"/>
        <n v="980"/>
        <n v="1820"/>
        <n v="1940"/>
        <n v="1980"/>
        <n v="1620"/>
        <n v="171"/>
        <n v="389"/>
        <n v="1800"/>
        <n v="2750"/>
        <n v="475"/>
        <n v="238"/>
        <n v="610"/>
        <n v="2132"/>
        <n v="999"/>
        <n v="1190"/>
        <n v="671"/>
        <n v="1200"/>
        <n v="199"/>
        <n v="299"/>
        <n v="1660"/>
        <n v="1459"/>
        <n v="499"/>
        <n v="699"/>
        <n v="2799"/>
        <n v="399"/>
        <n v="2170"/>
        <n v="458"/>
        <n v="2115"/>
        <n v="445"/>
        <n v="325"/>
        <n v="1220"/>
        <n v="1000"/>
        <n v="3750"/>
        <n v="382"/>
        <n v="2300"/>
        <n v="345"/>
        <n v="509"/>
        <n v="968"/>
        <n v="1570"/>
        <n v="790"/>
        <n v="690"/>
        <n v="1732"/>
        <n v="230"/>
        <n v="1189"/>
        <n v="979"/>
        <n v="1460"/>
        <n v="1666"/>
        <n v="330"/>
        <n v="176"/>
        <n v="1466"/>
        <n v="274"/>
        <n v="657"/>
        <n v="1468"/>
        <n v="630"/>
        <n v="850"/>
        <n v="1300"/>
        <n v="105"/>
        <n v="899"/>
        <n v="1526"/>
        <n v="1462"/>
        <n v="248"/>
        <n v="3546"/>
        <n v="525"/>
        <n v="1080"/>
        <n v="3640"/>
        <n v="1420"/>
        <n v="1875"/>
        <n v="198"/>
        <n v="1150"/>
        <n v="1658"/>
        <n v="1768"/>
        <n v="450"/>
        <n v="169"/>
        <m/>
        <s v="Average"/>
        <n v="1186.8928571428571"/>
        <s v="Most expensive product"/>
        <s v="Least expensive product"/>
      </sharedItems>
    </cacheField>
    <cacheField name="old price" numFmtId="0">
      <sharedItems containsBlank="1" containsMixedTypes="1" containsNumber="1" minValue="80" maxValue="6143" count="98">
        <n v="1525"/>
        <n v="999"/>
        <n v="2923"/>
        <n v="2499"/>
        <n v="2356"/>
        <n v="3290"/>
        <n v="3032"/>
        <n v="1580"/>
        <n v="2800"/>
        <n v="2929"/>
        <n v="1500"/>
        <n v="1035"/>
        <n v="860"/>
        <n v="684"/>
        <n v="360"/>
        <n v="3971"/>
        <n v="3699"/>
        <n v="1966"/>
        <n v="80"/>
        <n v="3220"/>
        <n v="1350"/>
        <n v="2150"/>
        <n v="4500"/>
        <n v="647"/>
        <n v="3520"/>
        <n v="1990"/>
        <n v="4080"/>
        <n v="382"/>
        <n v="1490"/>
        <n v="3490"/>
        <n v="2650"/>
        <n v="2699"/>
        <n v="2690"/>
        <n v="656"/>
        <n v="2700"/>
        <n v="4471"/>
        <n v="931"/>
        <n v="476"/>
        <n v="1060"/>
        <n v="2169"/>
        <n v="2000"/>
        <n v="1785"/>
        <n v="1316"/>
        <n v="1950"/>
        <n v="504"/>
        <n v="600"/>
        <n v="1699"/>
        <n v="384"/>
        <n v="1499"/>
        <n v="1343"/>
        <n v="900"/>
        <n v="1567"/>
        <n v="3810"/>
        <n v="896"/>
        <n v="2500"/>
        <n v="986"/>
        <n v="4700"/>
        <n v="873"/>
        <n v="680"/>
        <n v="1555"/>
        <n v="1814"/>
        <n v="6143"/>
        <n v="700"/>
        <n v="3240"/>
        <n v="602"/>
        <n v="899"/>
        <n v="2988"/>
        <n v="1485"/>
        <n v="1200"/>
        <n v="1799"/>
        <n v="450"/>
        <n v="2199"/>
        <n v="1920"/>
        <n v="2290"/>
        <n v="345"/>
        <n v="537"/>
        <n v="1288"/>
        <n v="1100"/>
        <n v="1700"/>
        <n v="200"/>
        <n v="2400"/>
        <n v="1660"/>
        <n v="486"/>
        <n v="1029"/>
        <n v="1874"/>
        <n v="4588"/>
        <n v="2420"/>
        <n v="1899"/>
        <n v="260"/>
        <n v="1737"/>
        <n v="1810"/>
        <n v="553"/>
        <n v="320"/>
        <m/>
        <s v="Average"/>
        <n v="1811.1071428571429"/>
        <s v="32PCS Portable Cordless Drill Set With Cyclic Battery Drive -26 Variable Speed"/>
        <s v="3PCS Single Head Knitting Crochet Sweater Needle Set"/>
      </sharedItems>
    </cacheField>
    <cacheField name="Discount" numFmtId="0">
      <sharedItems containsBlank="1" containsMixedTypes="1" containsNumber="1" minValue="1.2638230647709321E-2" maxValue="0.64014466546112114" count="108">
        <n v="0.37704918032786883"/>
        <n v="0.47247247247247248"/>
        <n v="0.24769072870338693"/>
        <n v="0.36774709883953582"/>
        <n v="0.26146010186757218"/>
        <n v="8.8449848024316116E-2"/>
        <n v="0.23515831134564644"/>
        <n v="0.37468354430379747"/>
        <n v="0.54500000000000004"/>
        <n v="0.45373847729600547"/>
        <n v="0.20020020020020021"/>
        <n v="0.34"/>
        <n v="0.46666666666666667"/>
        <n v="0.41744186046511628"/>
        <n v="0.32773109243697479"/>
        <n v="0.51461988304093564"/>
        <n v="0.45833333333333331"/>
        <n v="0.49005288340468395"/>
        <n v="0.18924033522573669"/>
        <n v="0.49237029501525942"/>
        <n v="0.52500000000000002"/>
        <n v="0.42236024844720499"/>
        <n v="0.34814814814814815"/>
        <n v="0.23255813953488372"/>
        <n v="0.54488888888888887"/>
        <n v="0.3508500772797527"/>
        <n v="0.18181818181818182"/>
        <n v="0.32160804020100503"/>
        <n v="0.2965186074429772"/>
        <n v="0.46078431372549017"/>
        <n v="0.51570680628272247"/>
        <n v="0.34228187919463088"/>
        <n v="0.47851002865329512"/>
        <n v="0.26792452830188679"/>
        <n v="0.26639496109670247"/>
        <n v="0.39776951672862454"/>
        <n v="0.40701219512195119"/>
        <n v="0.33333333333333331"/>
        <n v="0.38492507269067322"/>
        <n v="0.48979591836734693"/>
        <n v="0.5"/>
        <n v="0.42452830188679247"/>
        <n v="1.705855232826187E-2"/>
        <n v="0.50049999999999994"/>
        <n v="0.49012158054711247"/>
        <n v="0.38461538461538464"/>
        <n v="0.60515873015873012"/>
        <n v="0.50166666666666671"/>
        <n v="2.2954679223072396E-2"/>
        <n v="0.22135416666666666"/>
        <n v="2.6684456304202801E-2"/>
        <n v="0.4050632911392405"/>
        <n v="0.44555555555555554"/>
        <n v="0.47952345495160087"/>
        <n v="0.49010848755583919"/>
        <n v="0.26535433070866143"/>
        <n v="0.5546875"/>
        <n v="0.13200000000000001"/>
        <n v="0.53549695740365111"/>
        <n v="0.55000000000000004"/>
        <n v="0.49026345933562426"/>
        <n v="0.5220588235294118"/>
        <n v="0.21543408360128619"/>
        <n v="0.45424476295479604"/>
        <n v="0.38954908025394758"/>
        <n v="0.45428571428571429"/>
        <n v="0.29012345679012347"/>
        <n v="0.42691029900332228"/>
        <n v="0.43381535038932145"/>
        <n v="0.46637265711135611"/>
        <n v="0.4745649263721553"/>
        <n v="0.46801346801346799"/>
        <n v="0.42499999999999999"/>
        <n v="3.7242912729294052E-2"/>
        <n v="0.48888888888888887"/>
        <n v="0.45929968167348795"/>
        <n v="0.49010416666666667"/>
        <n v="0.36244541484716158"/>
        <n v="1.9423190111830489E-2"/>
        <n v="0.48995363214837712"/>
        <n v="0.48985507246376814"/>
        <n v="0.13713949381989404"/>
        <n v="0.48975791433891991"/>
        <n v="0.11222222222222222"/>
        <n v="0.48990683229813664"/>
        <n v="0.13596233078281342"/>
        <n v="0.42727272727272725"/>
        <n v="0.48"/>
        <n v="0.47499999999999998"/>
        <n v="0.47086521483225424"/>
        <n v="8.0722891566265054E-2"/>
        <n v="2.4683122081387593E-2"/>
        <n v="0.48971193415637859"/>
        <n v="4.1362530413625302E-2"/>
        <n v="0.42369263607257202"/>
        <n v="0.20662598081952921"/>
        <n v="0.41322314049586778"/>
        <n v="1.2638230647709321E-2"/>
        <n v="0.23846153846153847"/>
        <n v="0.3379389752446747"/>
        <n v="0.34254143646408841"/>
        <n v="2.4131842260153032E-2"/>
        <n v="1.7231795441912175E-2"/>
        <n v="0.64014466546112114"/>
        <n v="0.47187499999999999"/>
        <m/>
        <s v="Average"/>
        <n v="0.36714123251752773"/>
      </sharedItems>
    </cacheField>
    <cacheField name="Discount Category" numFmtId="0">
      <sharedItems containsBlank="1" count="4">
        <s v="Medium Discount"/>
        <s v="High Discount"/>
        <s v="Low discount"/>
        <m/>
      </sharedItems>
    </cacheField>
    <cacheField name="Review" numFmtId="1">
      <sharedItems containsString="0" containsBlank="1" containsNumber="1" containsInteger="1" minValue="0" maxValue="69"/>
    </cacheField>
    <cacheField name="Ratings" numFmtId="165">
      <sharedItems containsString="0" containsBlank="1" containsNumber="1" minValue="2" maxValue="5" count="23">
        <n v="4.5"/>
        <n v="4.0999999999999996"/>
        <n v="4.5999999999999996"/>
        <n v="4.7"/>
        <n v="4.8"/>
        <n v="4"/>
        <n v="3.8"/>
        <n v="4.2"/>
        <n v="5"/>
        <n v="3.3"/>
        <n v="4.4000000000000004"/>
        <n v="4.3"/>
        <n v="2.5"/>
        <n v="3"/>
        <n v="2.1"/>
        <n v="2.8"/>
        <n v="2.7"/>
        <n v="2.9"/>
        <n v="2.2000000000000002"/>
        <n v="2.2999999999999998"/>
        <n v="2.6"/>
        <n v="2"/>
        <m/>
      </sharedItems>
    </cacheField>
    <cacheField name="Rating Category" numFmtId="0">
      <sharedItems containsBlank="1" count="4">
        <s v="Excellent"/>
        <s v="Average"/>
        <s v="Poor"/>
        <m/>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050.891479745369" createdVersion="6" refreshedVersion="6" minRefreshableVersion="3" recordCount="121">
  <cacheSource type="worksheet">
    <worksheetSource ref="A1:N1048576" sheet="Excel_jumia"/>
  </cacheSource>
  <cacheFields count="14">
    <cacheField name="Product" numFmtId="0">
      <sharedItems containsBlank="1" count="110">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m/>
      </sharedItems>
    </cacheField>
    <cacheField name="Current price" numFmtId="0">
      <sharedItems containsBlank="1" containsMixedTypes="1" containsNumber="1" minValue="38" maxValue="3750"/>
    </cacheField>
    <cacheField name="old price" numFmtId="0">
      <sharedItems containsBlank="1" containsMixedTypes="1" containsNumber="1" minValue="80" maxValue="6143"/>
    </cacheField>
    <cacheField name="Discount" numFmtId="0">
      <sharedItems containsBlank="1" containsMixedTypes="1" containsNumber="1" minValue="1.2638230647709321E-2" maxValue="0.64014466546112114" count="108">
        <n v="0.37704918032786883"/>
        <n v="0.47247247247247248"/>
        <n v="0.24769072870338693"/>
        <n v="0.36774709883953582"/>
        <n v="0.26146010186757218"/>
        <n v="8.8449848024316116E-2"/>
        <n v="0.23515831134564644"/>
        <n v="0.37468354430379747"/>
        <n v="0.54500000000000004"/>
        <n v="0.45373847729600547"/>
        <n v="0.20020020020020021"/>
        <n v="0.34"/>
        <n v="0.46666666666666667"/>
        <n v="0.41744186046511628"/>
        <n v="0.32773109243697479"/>
        <n v="0.51461988304093564"/>
        <n v="0.45833333333333331"/>
        <n v="0.49005288340468395"/>
        <n v="0.18924033522573669"/>
        <n v="0.49237029501525942"/>
        <n v="0.52500000000000002"/>
        <n v="0.42236024844720499"/>
        <n v="0.34814814814814815"/>
        <n v="0.23255813953488372"/>
        <n v="0.54488888888888887"/>
        <n v="0.3508500772797527"/>
        <n v="0.18181818181818182"/>
        <n v="0.32160804020100503"/>
        <n v="0.2965186074429772"/>
        <n v="0.46078431372549017"/>
        <n v="0.51570680628272247"/>
        <n v="0.34228187919463088"/>
        <n v="0.47851002865329512"/>
        <n v="0.26792452830188679"/>
        <n v="0.26639496109670247"/>
        <n v="0.39776951672862454"/>
        <n v="0.40701219512195119"/>
        <n v="0.33333333333333331"/>
        <n v="0.38492507269067322"/>
        <n v="0.48979591836734693"/>
        <n v="0.5"/>
        <n v="0.42452830188679247"/>
        <n v="1.705855232826187E-2"/>
        <n v="0.50049999999999994"/>
        <n v="0.49012158054711247"/>
        <n v="0.38461538461538464"/>
        <n v="0.60515873015873012"/>
        <n v="0.50166666666666671"/>
        <n v="2.2954679223072396E-2"/>
        <n v="0.22135416666666666"/>
        <n v="2.6684456304202801E-2"/>
        <n v="0.4050632911392405"/>
        <n v="0.44555555555555554"/>
        <n v="0.47952345495160087"/>
        <n v="0.49010848755583919"/>
        <n v="0.26535433070866143"/>
        <n v="0.5546875"/>
        <n v="0.13200000000000001"/>
        <n v="0.53549695740365111"/>
        <n v="0.55000000000000004"/>
        <n v="0.49026345933562426"/>
        <n v="0.5220588235294118"/>
        <n v="0.21543408360128619"/>
        <n v="0.45424476295479604"/>
        <n v="0.38954908025394758"/>
        <n v="0.45428571428571429"/>
        <n v="0.29012345679012347"/>
        <n v="0.42691029900332228"/>
        <n v="0.43381535038932145"/>
        <n v="0.46637265711135611"/>
        <n v="0.4745649263721553"/>
        <n v="0.46801346801346799"/>
        <n v="0.42499999999999999"/>
        <n v="3.7242912729294052E-2"/>
        <n v="0.48888888888888887"/>
        <n v="0.45929968167348795"/>
        <n v="0.49010416666666667"/>
        <n v="0.36244541484716158"/>
        <n v="1.9423190111830489E-2"/>
        <n v="0.48995363214837712"/>
        <n v="0.48985507246376814"/>
        <n v="0.13713949381989404"/>
        <n v="0.48975791433891991"/>
        <n v="0.11222222222222222"/>
        <n v="0.48990683229813664"/>
        <n v="0.13596233078281342"/>
        <n v="0.42727272727272725"/>
        <n v="0.48"/>
        <n v="0.47499999999999998"/>
        <n v="0.47086521483225424"/>
        <n v="8.0722891566265054E-2"/>
        <n v="2.4683122081387593E-2"/>
        <n v="0.48971193415637859"/>
        <n v="4.1362530413625302E-2"/>
        <n v="0.42369263607257202"/>
        <n v="0.20662598081952921"/>
        <n v="0.41322314049586778"/>
        <n v="1.2638230647709321E-2"/>
        <n v="0.23846153846153847"/>
        <n v="0.3379389752446747"/>
        <n v="0.34254143646408841"/>
        <n v="2.4131842260153032E-2"/>
        <n v="1.7231795441912175E-2"/>
        <n v="0.64014466546112114"/>
        <n v="0.47187499999999999"/>
        <m/>
        <s v="Average"/>
        <n v="0.36714123251752773"/>
      </sharedItems>
    </cacheField>
    <cacheField name="Discount Category" numFmtId="0">
      <sharedItems containsBlank="1" count="4">
        <s v="Medium Discount"/>
        <s v="High Discount"/>
        <s v="Low discount"/>
        <m/>
      </sharedItems>
    </cacheField>
    <cacheField name="Review" numFmtId="1">
      <sharedItems containsString="0" containsBlank="1" containsNumber="1" containsInteger="1" minValue="0" maxValue="69" count="25">
        <n v="2"/>
        <n v="14"/>
        <n v="24"/>
        <n v="7"/>
        <n v="5"/>
        <n v="15"/>
        <n v="55"/>
        <n v="12"/>
        <n v="39"/>
        <n v="6"/>
        <n v="9"/>
        <n v="3"/>
        <n v="44"/>
        <n v="13"/>
        <n v="0"/>
        <n v="49"/>
        <n v="20"/>
        <n v="32"/>
        <n v="1"/>
        <n v="36"/>
        <n v="10"/>
        <n v="69"/>
        <n v="16"/>
        <n v="17"/>
        <m/>
      </sharedItems>
      <fieldGroup base="5">
        <rangePr autoStart="0" autoEnd="0" startNum="0" endNum="69" groupInterval="10"/>
        <groupItems count="9">
          <s v="&lt;0 or (blank)"/>
          <s v="0-9"/>
          <s v="10-19"/>
          <s v="20-29"/>
          <s v="30-39"/>
          <s v="40-49"/>
          <s v="50-59"/>
          <s v="60-69"/>
          <s v="&gt;70"/>
        </groupItems>
      </fieldGroup>
    </cacheField>
    <cacheField name="Ratings" numFmtId="165">
      <sharedItems containsString="0" containsBlank="1" containsNumber="1" minValue="2" maxValue="5" count="23">
        <n v="4.5"/>
        <n v="4.0999999999999996"/>
        <n v="4.5999999999999996"/>
        <n v="4.7"/>
        <n v="4.8"/>
        <n v="4"/>
        <n v="3.8"/>
        <n v="4.2"/>
        <n v="5"/>
        <n v="3.3"/>
        <n v="4.4000000000000004"/>
        <n v="4.3"/>
        <n v="2.5"/>
        <n v="3"/>
        <n v="2.1"/>
        <n v="2.8"/>
        <n v="2.7"/>
        <n v="2.9"/>
        <n v="2.2000000000000002"/>
        <n v="2.2999999999999998"/>
        <n v="2.6"/>
        <n v="2"/>
        <m/>
      </sharedItems>
    </cacheField>
    <cacheField name="Rating Category" numFmtId="0">
      <sharedItems containsBlank="1" count="4">
        <s v="Excellent"/>
        <s v="Average"/>
        <s v="Poor"/>
        <m/>
      </sharedItems>
    </cacheField>
    <cacheField name="Top 10 Highest discount" numFmtId="9">
      <sharedItems containsString="0" containsBlank="1" containsNumber="1" minValue="0.5220588235294118" maxValue="0.64014466546112114"/>
    </cacheField>
    <cacheField name="Top 10 highest discounted products" numFmtId="0">
      <sharedItems containsBlank="1"/>
    </cacheField>
    <cacheField name="Top 10 reviews" numFmtId="0">
      <sharedItems containsString="0" containsBlank="1" containsNumber="1" containsInteger="1" minValue="20" maxValue="69"/>
    </cacheField>
    <cacheField name="Top 10 highly reviwed products" numFmtId="0">
      <sharedItems containsBlank="1"/>
    </cacheField>
    <cacheField name="Top 5 highest ratings" numFmtId="0">
      <sharedItems containsNonDate="0" containsString="0" containsBlank="1"/>
    </cacheField>
    <cacheField name="Top 5 highest rated product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20">
  <r>
    <s v="115  Piece Set Of Multifunctional Precision Screwdrivers"/>
    <x v="0"/>
    <x v="0"/>
    <x v="0"/>
    <x v="0"/>
    <n v="2"/>
    <x v="0"/>
    <x v="0"/>
  </r>
  <r>
    <s v="Metal Decorative Hooks Key Hangers Entryway Wall Hooks Towel Hooks - Home"/>
    <x v="1"/>
    <x v="1"/>
    <x v="1"/>
    <x v="1"/>
    <n v="14"/>
    <x v="1"/>
    <x v="1"/>
  </r>
  <r>
    <s v="Portable Mini Cordless Car Vacuum Cleaner - Blue"/>
    <x v="2"/>
    <x v="2"/>
    <x v="2"/>
    <x v="0"/>
    <n v="24"/>
    <x v="2"/>
    <x v="0"/>
  </r>
  <r>
    <s v="Weighing Scale Digital Bathroom Body Fat Scale USB-Black"/>
    <x v="3"/>
    <x v="3"/>
    <x v="3"/>
    <x v="0"/>
    <n v="7"/>
    <x v="3"/>
    <x v="0"/>
  </r>
  <r>
    <s v="Portable Home Small Air Humidifier 3-Speed Fan - Green"/>
    <x v="4"/>
    <x v="4"/>
    <x v="4"/>
    <x v="0"/>
    <n v="5"/>
    <x v="4"/>
    <x v="0"/>
  </r>
  <r>
    <s v="220V 60W Electric Soldering Iron Kits With Tools, Tips, And Multimeter"/>
    <x v="5"/>
    <x v="5"/>
    <x v="5"/>
    <x v="2"/>
    <n v="15"/>
    <x v="5"/>
    <x v="1"/>
  </r>
  <r>
    <s v="137 Pieces Cake Decorating Tool Set Baking Supplies"/>
    <x v="6"/>
    <x v="6"/>
    <x v="6"/>
    <x v="0"/>
    <n v="55"/>
    <x v="2"/>
    <x v="0"/>
  </r>
  <r>
    <s v="Desk Foldable Fan Adjustable Fan Strong Wind 3 Gear Usb"/>
    <x v="7"/>
    <x v="7"/>
    <x v="7"/>
    <x v="0"/>
    <n v="2"/>
    <x v="5"/>
    <x v="1"/>
  </r>
  <r>
    <s v="LASA FOLDING TABLE SERVING STAND"/>
    <x v="8"/>
    <x v="8"/>
    <x v="8"/>
    <x v="1"/>
    <n v="5"/>
    <x v="4"/>
    <x v="0"/>
  </r>
  <r>
    <s v="13 In 1 Home Repair Tools Box Kit Set"/>
    <x v="9"/>
    <x v="9"/>
    <x v="9"/>
    <x v="1"/>
    <n v="5"/>
    <x v="6"/>
    <x v="1"/>
  </r>
  <r>
    <s v="Genebre 115 In 1 Screwdriver Repairing Tool Set For IPhone Cellphone Hand Tool"/>
    <x v="10"/>
    <x v="1"/>
    <x v="10"/>
    <x v="0"/>
    <n v="12"/>
    <x v="1"/>
    <x v="1"/>
  </r>
  <r>
    <s v="100 Pcs Crochet Hook Tool Set Knitting Hook Set With Box"/>
    <x v="11"/>
    <x v="10"/>
    <x v="11"/>
    <x v="0"/>
    <n v="39"/>
    <x v="3"/>
    <x v="0"/>
  </r>
  <r>
    <s v="40cm Gold DIY Acrylic Wall Sticker Clock"/>
    <x v="12"/>
    <x v="11"/>
    <x v="12"/>
    <x v="1"/>
    <n v="12"/>
    <x v="4"/>
    <x v="0"/>
  </r>
  <r>
    <s v="LASA Digital Thermometer And Hydrometer"/>
    <x v="13"/>
    <x v="12"/>
    <x v="13"/>
    <x v="1"/>
    <n v="6"/>
    <x v="0"/>
    <x v="0"/>
  </r>
  <r>
    <s v="Multifunction Laser Level With Adjustment Tripod"/>
    <x v="14"/>
    <x v="3"/>
    <x v="14"/>
    <x v="0"/>
    <n v="9"/>
    <x v="7"/>
    <x v="1"/>
  </r>
  <r>
    <s v="Anti-Skid Absorbent Insulation Coaster  For Home Office"/>
    <x v="15"/>
    <x v="13"/>
    <x v="15"/>
    <x v="1"/>
    <n v="2"/>
    <x v="8"/>
    <x v="0"/>
  </r>
  <r>
    <s v="Peacock  Throw Pillow Cushion Case For Home Car"/>
    <x v="16"/>
    <x v="14"/>
    <x v="16"/>
    <x v="1"/>
    <n v="2"/>
    <x v="8"/>
    <x v="0"/>
  </r>
  <r>
    <s v="LASA Aluminum Folding Truck Hand Cart - 68kg Max"/>
    <x v="17"/>
    <x v="15"/>
    <x v="17"/>
    <x v="1"/>
    <n v="3"/>
    <x v="8"/>
    <x v="0"/>
  </r>
  <r>
    <s v="LED Wall Digital Alarm Clock Study Home 12 / 24H Clock Calendar"/>
    <x v="5"/>
    <x v="16"/>
    <x v="18"/>
    <x v="2"/>
    <n v="5"/>
    <x v="2"/>
    <x v="0"/>
  </r>
  <r>
    <s v="3D Waterproof EVA Plastic Shower Curtain 1.8*2Mtrs"/>
    <x v="18"/>
    <x v="17"/>
    <x v="19"/>
    <x v="1"/>
    <n v="44"/>
    <x v="2"/>
    <x v="0"/>
  </r>
  <r>
    <s v="3PCS Single Head Knitting Crochet Sweater Needle Set"/>
    <x v="19"/>
    <x v="18"/>
    <x v="20"/>
    <x v="1"/>
    <n v="13"/>
    <x v="9"/>
    <x v="1"/>
  </r>
  <r>
    <s v="4pcs Bathroom/Kitchen Towel Rack,Roll Paper Holder,Towel Bars,Hook"/>
    <x v="20"/>
    <x v="19"/>
    <x v="21"/>
    <x v="1"/>
    <n v="0"/>
    <x v="6"/>
    <x v="1"/>
  </r>
  <r>
    <s v="LED Romantic Spaceship Starry Sky Projector,Children's Bedroom Night Light-Blue"/>
    <x v="21"/>
    <x v="20"/>
    <x v="22"/>
    <x v="0"/>
    <n v="6"/>
    <x v="5"/>
    <x v="1"/>
  </r>
  <r>
    <s v="Foldable Overbed Table/Desk"/>
    <x v="22"/>
    <x v="21"/>
    <x v="23"/>
    <x v="0"/>
    <n v="14"/>
    <x v="10"/>
    <x v="1"/>
  </r>
  <r>
    <s v="LASA 3 Tier Bamboo Shoe Bench Storage Shelf"/>
    <x v="23"/>
    <x v="22"/>
    <x v="24"/>
    <x v="1"/>
    <n v="7"/>
    <x v="11"/>
    <x v="1"/>
  </r>
  <r>
    <s v="Electronic Digital Display Vernier Caliper"/>
    <x v="24"/>
    <x v="23"/>
    <x v="25"/>
    <x v="0"/>
    <n v="49"/>
    <x v="2"/>
    <x v="0"/>
  </r>
  <r>
    <s v="Portable Wardrobe Nonwoven With 3 Hanging Rods And 6 Storage Shelves"/>
    <x v="25"/>
    <x v="24"/>
    <x v="26"/>
    <x v="2"/>
    <n v="12"/>
    <x v="6"/>
    <x v="1"/>
  </r>
  <r>
    <s v="12 Litre Black Insulated Lunch Box"/>
    <x v="26"/>
    <x v="25"/>
    <x v="27"/>
    <x v="0"/>
    <n v="13"/>
    <x v="6"/>
    <x v="1"/>
  </r>
  <r>
    <s v="52 Pieces Cake Decorating Tool Set Gift Kit Baking Supplies"/>
    <x v="27"/>
    <x v="3"/>
    <x v="28"/>
    <x v="0"/>
    <n v="20"/>
    <x v="1"/>
    <x v="1"/>
  </r>
  <r>
    <s v="MultiFunctional Storage Rack Multi-layer Bookshelf"/>
    <x v="28"/>
    <x v="26"/>
    <x v="29"/>
    <x v="1"/>
    <n v="0"/>
    <x v="6"/>
    <x v="1"/>
  </r>
  <r>
    <s v="Exfoliate And Exfoliate Face Towel - Black"/>
    <x v="29"/>
    <x v="27"/>
    <x v="30"/>
    <x v="1"/>
    <n v="9"/>
    <x v="11"/>
    <x v="1"/>
  </r>
  <r>
    <s v="12 Litre Insulated Lunch Box Grey"/>
    <x v="30"/>
    <x v="28"/>
    <x v="31"/>
    <x v="0"/>
    <n v="12"/>
    <x v="3"/>
    <x v="0"/>
  </r>
  <r>
    <s v="LED Eye Protection  Desk Lamp , Study, Reading, USB Fan - Double Pen Holder"/>
    <x v="31"/>
    <x v="29"/>
    <x v="32"/>
    <x v="1"/>
    <n v="9"/>
    <x v="11"/>
    <x v="1"/>
  </r>
  <r>
    <s v="53Pcs/Set Yarn Knitting Crochet Hooks With Bag - Fortune Cat"/>
    <x v="32"/>
    <x v="30"/>
    <x v="33"/>
    <x v="0"/>
    <n v="20"/>
    <x v="3"/>
    <x v="0"/>
  </r>
  <r>
    <s v="53 Pieces/Set Yarn Knitting Crochet Hooks With Bag - Pansies"/>
    <x v="33"/>
    <x v="31"/>
    <x v="34"/>
    <x v="0"/>
    <n v="32"/>
    <x v="0"/>
    <x v="0"/>
  </r>
  <r>
    <s v="DIY File Folder, Office Drawer File Holder, Pen Holder, Desktop Storage Rack"/>
    <x v="34"/>
    <x v="32"/>
    <x v="35"/>
    <x v="0"/>
    <n v="1"/>
    <x v="8"/>
    <x v="0"/>
  </r>
  <r>
    <s v="Classic Black Cat Cotton Hemp Pillow Case For Home Car"/>
    <x v="35"/>
    <x v="14"/>
    <x v="20"/>
    <x v="1"/>
    <n v="2"/>
    <x v="8"/>
    <x v="0"/>
  </r>
  <r>
    <s v="Punch-free Great Load Bearing Bathroom Storage Rack Wall Shelf-White"/>
    <x v="36"/>
    <x v="33"/>
    <x v="36"/>
    <x v="1"/>
    <n v="36"/>
    <x v="11"/>
    <x v="1"/>
  </r>
  <r>
    <s v="1/2/3 Seater Elastic Sofa Cover,Living Room/Home Decor Chair Cover-Grey"/>
    <x v="37"/>
    <x v="34"/>
    <x v="37"/>
    <x v="0"/>
    <n v="2"/>
    <x v="0"/>
    <x v="0"/>
  </r>
  <r>
    <s v="LASA Stainless Steel Double Wall Mount Soap Dispenser - 500ml"/>
    <x v="38"/>
    <x v="35"/>
    <x v="38"/>
    <x v="0"/>
    <n v="0"/>
    <x v="6"/>
    <x v="1"/>
  </r>
  <r>
    <s v="4M Float Switch Water Level Controller -Water Tank"/>
    <x v="39"/>
    <x v="36"/>
    <x v="39"/>
    <x v="1"/>
    <n v="0"/>
    <x v="6"/>
    <x v="1"/>
  </r>
  <r>
    <s v="Modern Sofa Throw Pillow Cover-45x45cm-Blue&amp;Red"/>
    <x v="40"/>
    <x v="37"/>
    <x v="40"/>
    <x v="1"/>
    <n v="0"/>
    <x v="6"/>
    <x v="1"/>
  </r>
  <r>
    <s v="Balloon Insert, Birthday Party Balloon Set, PU Leather"/>
    <x v="41"/>
    <x v="38"/>
    <x v="41"/>
    <x v="1"/>
    <n v="0"/>
    <x v="6"/>
    <x v="1"/>
  </r>
  <r>
    <s v="Shower Cap Wide Elastic Band Cover Reusable Bashroom Cap"/>
    <x v="42"/>
    <x v="39"/>
    <x v="42"/>
    <x v="2"/>
    <n v="0"/>
    <x v="6"/>
    <x v="1"/>
  </r>
  <r>
    <s v="Christmas Elk Fence Yard Lawn Decorations Cute For Holidays"/>
    <x v="43"/>
    <x v="40"/>
    <x v="43"/>
    <x v="1"/>
    <n v="0"/>
    <x v="6"/>
    <x v="1"/>
  </r>
  <r>
    <s v="60W Hot Melt Glue Sprayer - Efficient And Stable Glue Dispensing"/>
    <x v="44"/>
    <x v="41"/>
    <x v="37"/>
    <x v="0"/>
    <n v="0"/>
    <x v="6"/>
    <x v="1"/>
  </r>
  <r>
    <s v="Car Phone Charging Stand"/>
    <x v="45"/>
    <x v="42"/>
    <x v="44"/>
    <x v="1"/>
    <n v="0"/>
    <x v="6"/>
    <x v="1"/>
  </r>
  <r>
    <s v="2pcs Solar Street Light Flood Light Outdoor"/>
    <x v="46"/>
    <x v="43"/>
    <x v="45"/>
    <x v="0"/>
    <n v="0"/>
    <x v="6"/>
    <x v="1"/>
  </r>
  <r>
    <s v="Creative Owl Shape Keychain Black"/>
    <x v="47"/>
    <x v="44"/>
    <x v="46"/>
    <x v="1"/>
    <n v="0"/>
    <x v="6"/>
    <x v="1"/>
  </r>
  <r>
    <s v="Brush &amp; Paintbrush Cleaning Tool Pink"/>
    <x v="48"/>
    <x v="45"/>
    <x v="47"/>
    <x v="1"/>
    <n v="0"/>
    <x v="6"/>
    <x v="1"/>
  </r>
  <r>
    <s v="Pen Grips For Kids Pen Grip Posture Correction Tool For Kids"/>
    <x v="49"/>
    <x v="46"/>
    <x v="48"/>
    <x v="2"/>
    <n v="0"/>
    <x v="6"/>
    <x v="1"/>
  </r>
  <r>
    <s v="Pilates Cloth Bag Waterproof Durable High Capacity Purple"/>
    <x v="48"/>
    <x v="47"/>
    <x v="49"/>
    <x v="0"/>
    <n v="0"/>
    <x v="6"/>
    <x v="1"/>
  </r>
  <r>
    <s v="Multi-purpose Rice Drainage Basket And Fruit And Vegetable Drainage Sieve"/>
    <x v="50"/>
    <x v="48"/>
    <x v="50"/>
    <x v="2"/>
    <n v="0"/>
    <x v="6"/>
    <x v="1"/>
  </r>
  <r>
    <s v="Cute Christmas Fence Garden Decorations For Holiday Home"/>
    <x v="10"/>
    <x v="49"/>
    <x v="51"/>
    <x v="1"/>
    <n v="0"/>
    <x v="6"/>
    <x v="1"/>
  </r>
  <r>
    <s v="Simple Metal Dog Art Sculpture Decoration For Home Office"/>
    <x v="51"/>
    <x v="50"/>
    <x v="52"/>
    <x v="1"/>
    <n v="0"/>
    <x v="6"/>
    <x v="1"/>
  </r>
  <r>
    <s v="Christmas Fence Garden Decorations Outdoor For Holiday Home"/>
    <x v="52"/>
    <x v="49"/>
    <x v="53"/>
    <x v="1"/>
    <n v="0"/>
    <x v="6"/>
    <x v="1"/>
  </r>
  <r>
    <s v="Angle Measuring Tool Full Metal Multi Angle Measuring Tool"/>
    <x v="10"/>
    <x v="51"/>
    <x v="54"/>
    <x v="1"/>
    <n v="0"/>
    <x v="6"/>
    <x v="1"/>
  </r>
  <r>
    <s v="12V 19500rpm Handheld Electric Angle Grinder Tool - UK - Yellow/Black"/>
    <x v="53"/>
    <x v="52"/>
    <x v="55"/>
    <x v="0"/>
    <n v="0"/>
    <x v="6"/>
    <x v="1"/>
  </r>
  <r>
    <s v="Simple Metal Dog Art Sculpture Decoration For Home Office"/>
    <x v="54"/>
    <x v="53"/>
    <x v="56"/>
    <x v="1"/>
    <n v="0"/>
    <x v="6"/>
    <x v="1"/>
  </r>
  <r>
    <s v="5 Pieces/set Of Stainless Steel Induction Cooker Pots"/>
    <x v="55"/>
    <x v="54"/>
    <x v="57"/>
    <x v="2"/>
    <n v="6"/>
    <x v="12"/>
    <x v="2"/>
  </r>
  <r>
    <s v="Mythco 120COB Solar Wall Ligt With Motion Sensor And Remote Control 3 Modes"/>
    <x v="56"/>
    <x v="55"/>
    <x v="58"/>
    <x v="1"/>
    <n v="10"/>
    <x v="13"/>
    <x v="1"/>
  </r>
  <r>
    <s v="5-PCS Stainless Steel Cooking Pot Set With Steamed Slices"/>
    <x v="57"/>
    <x v="56"/>
    <x v="59"/>
    <x v="1"/>
    <n v="13"/>
    <x v="14"/>
    <x v="2"/>
  </r>
  <r>
    <s v="120W Cordless Vacuum Cleaners Handheld Electric Vacuum Cleaner"/>
    <x v="58"/>
    <x v="57"/>
    <x v="60"/>
    <x v="1"/>
    <n v="69"/>
    <x v="15"/>
    <x v="2"/>
  </r>
  <r>
    <s v="Intelligent  LED Body Sensor Wireless Lighting Night Light USB"/>
    <x v="59"/>
    <x v="58"/>
    <x v="61"/>
    <x v="1"/>
    <n v="15"/>
    <x v="16"/>
    <x v="2"/>
  </r>
  <r>
    <s v="VIC Wireless Vacuum Cleaner Dual Use For Home And Car 120W High Power Powerful"/>
    <x v="60"/>
    <x v="59"/>
    <x v="62"/>
    <x v="0"/>
    <n v="16"/>
    <x v="17"/>
    <x v="2"/>
  </r>
  <r>
    <s v="Artificial Potted Flowers Room Decorative Flowers (2 Pieces)"/>
    <x v="11"/>
    <x v="60"/>
    <x v="63"/>
    <x v="1"/>
    <n v="6"/>
    <x v="18"/>
    <x v="2"/>
  </r>
  <r>
    <s v="380ML USB Rechargeable Portable Small Blenders And Juicers"/>
    <x v="61"/>
    <x v="40"/>
    <x v="40"/>
    <x v="1"/>
    <n v="7"/>
    <x v="19"/>
    <x v="2"/>
  </r>
  <r>
    <s v="32PCS Portable Cordless Drill Set With Cyclic Battery Drive -26 Variable Speed"/>
    <x v="62"/>
    <x v="61"/>
    <x v="64"/>
    <x v="0"/>
    <n v="5"/>
    <x v="13"/>
    <x v="1"/>
  </r>
  <r>
    <s v="Agapeon Toothbrush Holder And Toothpaste Dispenser"/>
    <x v="63"/>
    <x v="62"/>
    <x v="65"/>
    <x v="1"/>
    <n v="17"/>
    <x v="20"/>
    <x v="2"/>
  </r>
  <r>
    <s v="Large Lazy Inflatable Sofa Chairs PVC Lounger Seat Bag"/>
    <x v="64"/>
    <x v="63"/>
    <x v="66"/>
    <x v="0"/>
    <n v="5"/>
    <x v="13"/>
    <x v="1"/>
  </r>
  <r>
    <s v="Watercolour Gold Foil Textured Print Pillow Cover"/>
    <x v="65"/>
    <x v="64"/>
    <x v="67"/>
    <x v="1"/>
    <n v="6"/>
    <x v="19"/>
    <x v="2"/>
  </r>
  <r>
    <s v="Wrought Iron Bathroom Shelf Wall Mounted Free Punch Toilet Rack"/>
    <x v="66"/>
    <x v="65"/>
    <x v="68"/>
    <x v="1"/>
    <n v="5"/>
    <x v="13"/>
    <x v="1"/>
  </r>
  <r>
    <s v="7-piece Set Of Storage Bags, Travel Storage Bags, Shoe Bags"/>
    <x v="67"/>
    <x v="60"/>
    <x v="69"/>
    <x v="1"/>
    <n v="6"/>
    <x v="18"/>
    <x v="2"/>
  </r>
  <r>
    <s v="Electric LED UV Mosquito Killer Lamp, Outdoor/Indoor Fly Killer Trap Light -USB"/>
    <x v="68"/>
    <x v="66"/>
    <x v="70"/>
    <x v="1"/>
    <n v="7"/>
    <x v="14"/>
    <x v="2"/>
  </r>
  <r>
    <s v="2PCS/LOT Solar LED Outdoor Intelligent Light Controlled Wall Lamp"/>
    <x v="69"/>
    <x v="67"/>
    <x v="71"/>
    <x v="1"/>
    <n v="0"/>
    <x v="6"/>
    <x v="1"/>
  </r>
  <r>
    <s v="3PCS Rotary Scraper Thermomix For Kitchen"/>
    <x v="70"/>
    <x v="68"/>
    <x v="72"/>
    <x v="1"/>
    <n v="0"/>
    <x v="6"/>
    <x v="1"/>
  </r>
  <r>
    <s v="Cushion Silicone Butt Cushion Summer Ice Cushion Honeycomb Gel Cushion"/>
    <x v="71"/>
    <x v="69"/>
    <x v="73"/>
    <x v="2"/>
    <n v="0"/>
    <x v="6"/>
    <x v="1"/>
  </r>
  <r>
    <s v="7PCS Silicone Thumb Knife Finger Protector Vegetable Harvesting Knife"/>
    <x v="72"/>
    <x v="70"/>
    <x v="74"/>
    <x v="1"/>
    <n v="0"/>
    <x v="6"/>
    <x v="1"/>
  </r>
  <r>
    <s v="Memory Foam Neck Pillow Cover, With Pillow Core - 50*30cm"/>
    <x v="73"/>
    <x v="71"/>
    <x v="75"/>
    <x v="1"/>
    <n v="1"/>
    <x v="13"/>
    <x v="1"/>
  </r>
  <r>
    <s v="Bedroom Simple Floor Hanging Clothes Rack Single Pole Hat Rack - White"/>
    <x v="74"/>
    <x v="72"/>
    <x v="76"/>
    <x v="1"/>
    <n v="1"/>
    <x v="8"/>
    <x v="0"/>
  </r>
  <r>
    <s v="5m Waterproof Spherical LED String Lights Outdoor Ball Chain Lights Party Lighting Decoration Adjustable"/>
    <x v="75"/>
    <x v="73"/>
    <x v="77"/>
    <x v="0"/>
    <n v="0"/>
    <x v="6"/>
    <x v="1"/>
  </r>
  <r>
    <s v="2 Pairs Cowhide Split Leather Work Gloves.32â„‰ Or Above Welding Gloves"/>
    <x v="76"/>
    <x v="46"/>
    <x v="78"/>
    <x v="2"/>
    <n v="0"/>
    <x v="6"/>
    <x v="1"/>
  </r>
  <r>
    <s v="Household Pineapple Peeler Peeler"/>
    <x v="77"/>
    <x v="23"/>
    <x v="79"/>
    <x v="1"/>
    <n v="1"/>
    <x v="5"/>
    <x v="1"/>
  </r>
  <r>
    <s v="Creative Owl Shape Keychain Black"/>
    <x v="78"/>
    <x v="74"/>
    <x v="80"/>
    <x v="1"/>
    <n v="0"/>
    <x v="6"/>
    <x v="1"/>
  </r>
  <r>
    <s v="Office Chair Lumbar Back Support Spine Posture Correction Pillow Car Cushion"/>
    <x v="79"/>
    <x v="46"/>
    <x v="81"/>
    <x v="2"/>
    <n v="0"/>
    <x v="6"/>
    <x v="1"/>
  </r>
  <r>
    <s v="Cartoon Car Decoration Cute Individuality For Car Home Desk"/>
    <x v="80"/>
    <x v="75"/>
    <x v="82"/>
    <x v="1"/>
    <n v="0"/>
    <x v="6"/>
    <x v="1"/>
  </r>
  <r>
    <s v="Outdoor Portable Water Bottle With Medicine Box - 600ML - Black"/>
    <x v="10"/>
    <x v="50"/>
    <x v="83"/>
    <x v="2"/>
    <n v="0"/>
    <x v="6"/>
    <x v="1"/>
  </r>
  <r>
    <s v="Angle Measuring Tool Full Metal Multi Angle Measuring Tool"/>
    <x v="81"/>
    <x v="76"/>
    <x v="84"/>
    <x v="1"/>
    <n v="0"/>
    <x v="6"/>
    <x v="1"/>
  </r>
  <r>
    <s v="Wall-Mounted Toothbrush Toothpaste Holder With Multiple Slots"/>
    <x v="82"/>
    <x v="46"/>
    <x v="85"/>
    <x v="2"/>
    <n v="0"/>
    <x v="6"/>
    <x v="1"/>
  </r>
  <r>
    <s v="Multifunctional Hanging Storage Box Storage Bag (4 Layers)"/>
    <x v="83"/>
    <x v="77"/>
    <x v="86"/>
    <x v="1"/>
    <n v="0"/>
    <x v="6"/>
    <x v="1"/>
  </r>
  <r>
    <s v="Wall Clock With Hidden Safe Box"/>
    <x v="84"/>
    <x v="78"/>
    <x v="40"/>
    <x v="1"/>
    <n v="0"/>
    <x v="6"/>
    <x v="1"/>
  </r>
  <r>
    <s v="Portable Wine Table With Folding Round Table"/>
    <x v="85"/>
    <x v="54"/>
    <x v="87"/>
    <x v="1"/>
    <n v="0"/>
    <x v="6"/>
    <x v="1"/>
  </r>
  <r>
    <s v="Sewing Machine Needle Threader Stitch Insertion Tool Automatic Quick Sewing"/>
    <x v="86"/>
    <x v="79"/>
    <x v="88"/>
    <x v="1"/>
    <n v="0"/>
    <x v="6"/>
    <x v="1"/>
  </r>
  <r>
    <s v="6 Layers Steel Pipe Assembling Dustproof Storage Shoe Cabinet"/>
    <x v="87"/>
    <x v="46"/>
    <x v="89"/>
    <x v="1"/>
    <n v="0"/>
    <x v="6"/>
    <x v="1"/>
  </r>
  <r>
    <s v="2PCS Ice Silk Square Cushion Cover Pillowcases - 65x65cm"/>
    <x v="46"/>
    <x v="80"/>
    <x v="40"/>
    <x v="1"/>
    <n v="0"/>
    <x v="6"/>
    <x v="1"/>
  </r>
  <r>
    <s v="Wall Mount Automatic Toothpaste Dispenser Toothbrush Holder Toothpaste Squeezer"/>
    <x v="88"/>
    <x v="81"/>
    <x v="90"/>
    <x v="2"/>
    <n v="0"/>
    <x v="6"/>
    <x v="1"/>
  </r>
  <r>
    <s v="Portable Soap Dispenser Kitchen Detergent Press Box Kitchen Tools"/>
    <x v="89"/>
    <x v="48"/>
    <x v="91"/>
    <x v="2"/>
    <n v="0"/>
    <x v="6"/>
    <x v="1"/>
  </r>
  <r>
    <s v="4 Piece Coloured Stainless Steel Kitchenware Set"/>
    <x v="90"/>
    <x v="82"/>
    <x v="92"/>
    <x v="1"/>
    <n v="0"/>
    <x v="6"/>
    <x v="1"/>
  </r>
  <r>
    <s v="Metal Wall Clock Silver Dial Crystal Jewelry Round Home Decoration Wall Clock"/>
    <x v="91"/>
    <x v="16"/>
    <x v="93"/>
    <x v="2"/>
    <n v="0"/>
    <x v="6"/>
    <x v="1"/>
  </r>
  <r>
    <s v="Baby Early Education Shape And Color Cognitive Training Toys"/>
    <x v="92"/>
    <x v="83"/>
    <x v="39"/>
    <x v="1"/>
    <n v="0"/>
    <x v="6"/>
    <x v="1"/>
  </r>
  <r>
    <s v="8in1 Screwdriver With LED Light"/>
    <x v="93"/>
    <x v="84"/>
    <x v="94"/>
    <x v="1"/>
    <n v="0"/>
    <x v="6"/>
    <x v="1"/>
  </r>
  <r>
    <s v="Konka Healty Electric Kettle, 24-hour Heat Preservation,1.5L,800W, White"/>
    <x v="94"/>
    <x v="85"/>
    <x v="95"/>
    <x v="0"/>
    <n v="1"/>
    <x v="8"/>
    <x v="0"/>
  </r>
  <r>
    <s v="9pcs Gas Mask, For Painting, Dust, Formaldehyde Grinding, Polishing"/>
    <x v="95"/>
    <x v="86"/>
    <x v="96"/>
    <x v="1"/>
    <n v="0"/>
    <x v="6"/>
    <x v="1"/>
  </r>
  <r>
    <s v="24 Grid Wall-mounted Sundries Organiser Fabric Closet Bag Storage Rack"/>
    <x v="96"/>
    <x v="87"/>
    <x v="97"/>
    <x v="2"/>
    <n v="0"/>
    <x v="6"/>
    <x v="1"/>
  </r>
  <r>
    <s v="1PC Refrigerator Food Seal Pocket Fridge Bags"/>
    <x v="97"/>
    <x v="88"/>
    <x v="98"/>
    <x v="0"/>
    <n v="0"/>
    <x v="6"/>
    <x v="1"/>
  </r>
  <r>
    <s v="LED Solar Street Light-fake Camera"/>
    <x v="98"/>
    <x v="89"/>
    <x v="99"/>
    <x v="0"/>
    <n v="0"/>
    <x v="6"/>
    <x v="1"/>
  </r>
  <r>
    <s v="Cartoon Embroidered Mini Towel Bear Cotton Wash Cloth Hand 4pcs"/>
    <x v="44"/>
    <x v="90"/>
    <x v="100"/>
    <x v="0"/>
    <n v="0"/>
    <x v="6"/>
    <x v="1"/>
  </r>
  <r>
    <s v="Shower Nozzle Cleaning Unclogging Needle Mini Crevice Small Hole Cleaning Brush"/>
    <x v="99"/>
    <x v="46"/>
    <x v="101"/>
    <x v="2"/>
    <n v="0"/>
    <x v="6"/>
    <x v="1"/>
  </r>
  <r>
    <s v="Thickening Multipurpose Non Stick Easy To Clean Heat Resistant Spoon Pad"/>
    <x v="100"/>
    <x v="69"/>
    <x v="102"/>
    <x v="2"/>
    <n v="0"/>
    <x v="6"/>
    <x v="1"/>
  </r>
  <r>
    <s v="6 In 1 Bottle Can Opener Multifunctional Easy Opener"/>
    <x v="47"/>
    <x v="91"/>
    <x v="103"/>
    <x v="1"/>
    <n v="0"/>
    <x v="6"/>
    <x v="1"/>
  </r>
  <r>
    <s v="Wall-mounted Sticker Punch-free Plug Fixer"/>
    <x v="101"/>
    <x v="50"/>
    <x v="40"/>
    <x v="1"/>
    <n v="1"/>
    <x v="21"/>
    <x v="2"/>
  </r>
  <r>
    <s v="Black Simple Water Cup Wine Coaster Anti Slip Absorbent"/>
    <x v="102"/>
    <x v="92"/>
    <x v="104"/>
    <x v="1"/>
    <n v="0"/>
    <x v="6"/>
    <x v="1"/>
  </r>
  <r>
    <m/>
    <x v="103"/>
    <x v="93"/>
    <x v="105"/>
    <x v="3"/>
    <m/>
    <x v="22"/>
    <x v="3"/>
  </r>
  <r>
    <m/>
    <x v="104"/>
    <x v="94"/>
    <x v="106"/>
    <x v="3"/>
    <m/>
    <x v="22"/>
    <x v="3"/>
  </r>
  <r>
    <m/>
    <x v="105"/>
    <x v="95"/>
    <x v="107"/>
    <x v="3"/>
    <m/>
    <x v="22"/>
    <x v="3"/>
  </r>
  <r>
    <m/>
    <x v="106"/>
    <x v="93"/>
    <x v="105"/>
    <x v="3"/>
    <m/>
    <x v="22"/>
    <x v="3"/>
  </r>
  <r>
    <m/>
    <x v="62"/>
    <x v="96"/>
    <x v="105"/>
    <x v="3"/>
    <m/>
    <x v="22"/>
    <x v="3"/>
  </r>
  <r>
    <m/>
    <x v="103"/>
    <x v="93"/>
    <x v="105"/>
    <x v="3"/>
    <m/>
    <x v="22"/>
    <x v="3"/>
  </r>
  <r>
    <m/>
    <x v="107"/>
    <x v="93"/>
    <x v="105"/>
    <x v="3"/>
    <m/>
    <x v="22"/>
    <x v="3"/>
  </r>
  <r>
    <m/>
    <x v="19"/>
    <x v="97"/>
    <x v="105"/>
    <x v="3"/>
    <m/>
    <x v="22"/>
    <x v="3"/>
  </r>
</pivotCacheRecords>
</file>

<file path=xl/pivotCache/pivotCacheRecords2.xml><?xml version="1.0" encoding="utf-8"?>
<pivotCacheRecords xmlns="http://schemas.openxmlformats.org/spreadsheetml/2006/main" xmlns:r="http://schemas.openxmlformats.org/officeDocument/2006/relationships" count="121">
  <r>
    <x v="0"/>
    <n v="950"/>
    <n v="1525"/>
    <x v="0"/>
    <x v="0"/>
    <x v="0"/>
    <x v="0"/>
    <x v="0"/>
    <n v="0.64014466546112114"/>
    <s v="6 In 1 Bottle Can Opener Multifunctional Easy Opener"/>
    <n v="69"/>
    <s v="120W Cordless Vacuum Cleaners Handheld Electric Vacuum Cleaner"/>
    <m/>
    <m/>
  </r>
  <r>
    <x v="1"/>
    <n v="527"/>
    <n v="999"/>
    <x v="1"/>
    <x v="1"/>
    <x v="1"/>
    <x v="1"/>
    <x v="1"/>
    <n v="0.60515873015873012"/>
    <s v="Creative Owl Shape Keychain Black"/>
    <n v="55"/>
    <s v="137 Pieces Cake Decorating Tool Set Baking Supplies"/>
    <m/>
    <m/>
  </r>
  <r>
    <x v="2"/>
    <n v="2199"/>
    <n v="2923"/>
    <x v="2"/>
    <x v="0"/>
    <x v="2"/>
    <x v="2"/>
    <x v="0"/>
    <n v="0.5546875"/>
    <s v="Simple Metal Dog Art Sculpture Decoration For Home Office"/>
    <n v="49"/>
    <s v="Electronic Digital Display Vernier Caliper"/>
    <m/>
    <s v=""/>
  </r>
  <r>
    <x v="3"/>
    <n v="1580"/>
    <n v="2499"/>
    <x v="3"/>
    <x v="0"/>
    <x v="3"/>
    <x v="3"/>
    <x v="0"/>
    <n v="0.55000000000000004"/>
    <s v="5-PCS Stainless Steel Cooking Pot Set With Steamed Slices"/>
    <n v="44"/>
    <s v="3D Waterproof EVA Plastic Shower Curtain 1.8*2Mtrs"/>
    <m/>
    <m/>
  </r>
  <r>
    <x v="4"/>
    <n v="1740"/>
    <n v="2356"/>
    <x v="4"/>
    <x v="0"/>
    <x v="4"/>
    <x v="4"/>
    <x v="0"/>
    <n v="0.54500000000000004"/>
    <s v="LASA FOLDING TABLE SERVING STAND"/>
    <n v="39"/>
    <s v="100 Pcs Crochet Hook Tool Set Knitting Hook Set With Box"/>
    <m/>
    <m/>
  </r>
  <r>
    <x v="5"/>
    <n v="2999"/>
    <n v="3290"/>
    <x v="5"/>
    <x v="2"/>
    <x v="5"/>
    <x v="5"/>
    <x v="1"/>
    <n v="0.54488888888888887"/>
    <s v="LASA 3 Tier Bamboo Shoe Bench Storage Shelf"/>
    <n v="36"/>
    <s v="Punch-free Great Load Bearing Bathroom Storage Rack Wall Shelf-White"/>
    <m/>
    <m/>
  </r>
  <r>
    <x v="6"/>
    <n v="2319"/>
    <n v="3032"/>
    <x v="6"/>
    <x v="0"/>
    <x v="6"/>
    <x v="2"/>
    <x v="0"/>
    <n v="0.53549695740365111"/>
    <s v="Mythco 120COB Solar Wall Ligt With Motion Sensor And Remote Control 3 Modes"/>
    <n v="32"/>
    <s v="53 Pieces/Set Yarn Knitting Crochet Hooks With Bag - Pansies"/>
    <m/>
    <m/>
  </r>
  <r>
    <x v="7"/>
    <n v="988"/>
    <n v="1580"/>
    <x v="7"/>
    <x v="0"/>
    <x v="0"/>
    <x v="5"/>
    <x v="1"/>
    <n v="0.52500000000000002"/>
    <s v="3PCS Single Head Knitting Crochet Sweater Needle Set"/>
    <n v="24"/>
    <s v="Portable Mini Cordless Car Vacuum Cleaner - Blue"/>
    <m/>
    <m/>
  </r>
  <r>
    <x v="8"/>
    <n v="1274"/>
    <n v="2800"/>
    <x v="8"/>
    <x v="1"/>
    <x v="4"/>
    <x v="4"/>
    <x v="0"/>
    <n v="0.52500000000000002"/>
    <s v="3PCS Single Head Knitting Crochet Sweater Needle Set"/>
    <n v="20"/>
    <s v="52 Pieces Cake Decorating Tool Set Gift Kit Baking Supplies"/>
    <m/>
    <m/>
  </r>
  <r>
    <x v="9"/>
    <n v="1600"/>
    <n v="2929"/>
    <x v="9"/>
    <x v="1"/>
    <x v="4"/>
    <x v="6"/>
    <x v="1"/>
    <n v="0.5220588235294118"/>
    <s v="Intelligent  LED Body Sensor Wireless Lighting Night Light USB"/>
    <n v="20"/>
    <s v="52 Pieces Cake Decorating Tool Set Gift Kit Baking Supplies"/>
    <m/>
    <m/>
  </r>
  <r>
    <x v="10"/>
    <n v="799"/>
    <n v="999"/>
    <x v="10"/>
    <x v="0"/>
    <x v="7"/>
    <x v="1"/>
    <x v="1"/>
    <m/>
    <m/>
    <m/>
    <m/>
    <m/>
    <m/>
  </r>
  <r>
    <x v="11"/>
    <n v="990"/>
    <n v="1500"/>
    <x v="11"/>
    <x v="0"/>
    <x v="8"/>
    <x v="3"/>
    <x v="0"/>
    <m/>
    <m/>
    <m/>
    <m/>
    <m/>
    <m/>
  </r>
  <r>
    <x v="12"/>
    <n v="552"/>
    <n v="1035"/>
    <x v="12"/>
    <x v="1"/>
    <x v="7"/>
    <x v="4"/>
    <x v="0"/>
    <m/>
    <m/>
    <m/>
    <m/>
    <m/>
    <m/>
  </r>
  <r>
    <x v="13"/>
    <n v="501"/>
    <n v="860"/>
    <x v="13"/>
    <x v="1"/>
    <x v="9"/>
    <x v="0"/>
    <x v="0"/>
    <m/>
    <m/>
    <m/>
    <m/>
    <m/>
    <m/>
  </r>
  <r>
    <x v="14"/>
    <n v="1680"/>
    <n v="2499"/>
    <x v="14"/>
    <x v="0"/>
    <x v="10"/>
    <x v="7"/>
    <x v="1"/>
    <m/>
    <m/>
    <m/>
    <m/>
    <m/>
    <m/>
  </r>
  <r>
    <x v="15"/>
    <n v="332"/>
    <n v="684"/>
    <x v="15"/>
    <x v="1"/>
    <x v="0"/>
    <x v="8"/>
    <x v="0"/>
    <m/>
    <m/>
    <m/>
    <m/>
    <m/>
    <m/>
  </r>
  <r>
    <x v="16"/>
    <n v="195"/>
    <n v="360"/>
    <x v="16"/>
    <x v="1"/>
    <x v="0"/>
    <x v="8"/>
    <x v="0"/>
    <m/>
    <m/>
    <m/>
    <m/>
    <m/>
    <m/>
  </r>
  <r>
    <x v="17"/>
    <n v="2025"/>
    <n v="3971"/>
    <x v="17"/>
    <x v="1"/>
    <x v="11"/>
    <x v="8"/>
    <x v="0"/>
    <m/>
    <m/>
    <m/>
    <m/>
    <m/>
    <m/>
  </r>
  <r>
    <x v="18"/>
    <n v="2999"/>
    <n v="3699"/>
    <x v="18"/>
    <x v="2"/>
    <x v="4"/>
    <x v="2"/>
    <x v="0"/>
    <m/>
    <m/>
    <m/>
    <m/>
    <m/>
    <m/>
  </r>
  <r>
    <x v="19"/>
    <n v="998"/>
    <n v="1966"/>
    <x v="19"/>
    <x v="1"/>
    <x v="12"/>
    <x v="2"/>
    <x v="0"/>
    <m/>
    <m/>
    <m/>
    <m/>
    <m/>
    <m/>
  </r>
  <r>
    <x v="20"/>
    <n v="38"/>
    <n v="80"/>
    <x v="20"/>
    <x v="1"/>
    <x v="13"/>
    <x v="9"/>
    <x v="1"/>
    <m/>
    <m/>
    <m/>
    <m/>
    <m/>
    <m/>
  </r>
  <r>
    <x v="21"/>
    <n v="1860"/>
    <n v="3220"/>
    <x v="21"/>
    <x v="1"/>
    <x v="14"/>
    <x v="6"/>
    <x v="1"/>
    <m/>
    <m/>
    <m/>
    <m/>
    <m/>
    <m/>
  </r>
  <r>
    <x v="22"/>
    <n v="880"/>
    <n v="1350"/>
    <x v="22"/>
    <x v="0"/>
    <x v="9"/>
    <x v="5"/>
    <x v="1"/>
    <m/>
    <m/>
    <m/>
    <m/>
    <m/>
    <m/>
  </r>
  <r>
    <x v="23"/>
    <n v="1650"/>
    <n v="2150"/>
    <x v="23"/>
    <x v="0"/>
    <x v="1"/>
    <x v="10"/>
    <x v="1"/>
    <m/>
    <m/>
    <m/>
    <m/>
    <m/>
    <m/>
  </r>
  <r>
    <x v="24"/>
    <n v="2048"/>
    <n v="4500"/>
    <x v="24"/>
    <x v="1"/>
    <x v="3"/>
    <x v="11"/>
    <x v="1"/>
    <m/>
    <m/>
    <m/>
    <m/>
    <m/>
    <m/>
  </r>
  <r>
    <x v="25"/>
    <n v="420"/>
    <n v="647"/>
    <x v="25"/>
    <x v="0"/>
    <x v="15"/>
    <x v="2"/>
    <x v="0"/>
    <m/>
    <m/>
    <m/>
    <m/>
    <m/>
    <m/>
  </r>
  <r>
    <x v="26"/>
    <n v="2880"/>
    <n v="3520"/>
    <x v="26"/>
    <x v="2"/>
    <x v="7"/>
    <x v="6"/>
    <x v="1"/>
    <m/>
    <m/>
    <m/>
    <m/>
    <m/>
    <m/>
  </r>
  <r>
    <x v="27"/>
    <n v="1350"/>
    <n v="1990"/>
    <x v="27"/>
    <x v="0"/>
    <x v="13"/>
    <x v="6"/>
    <x v="1"/>
    <m/>
    <m/>
    <m/>
    <m/>
    <m/>
    <m/>
  </r>
  <r>
    <x v="28"/>
    <n v="1758"/>
    <n v="2499"/>
    <x v="28"/>
    <x v="0"/>
    <x v="16"/>
    <x v="1"/>
    <x v="1"/>
    <m/>
    <m/>
    <m/>
    <m/>
    <m/>
    <m/>
  </r>
  <r>
    <x v="29"/>
    <n v="2200"/>
    <n v="4080"/>
    <x v="29"/>
    <x v="1"/>
    <x v="14"/>
    <x v="6"/>
    <x v="1"/>
    <m/>
    <m/>
    <m/>
    <m/>
    <m/>
    <m/>
  </r>
  <r>
    <x v="30"/>
    <n v="185"/>
    <n v="382"/>
    <x v="30"/>
    <x v="1"/>
    <x v="10"/>
    <x v="11"/>
    <x v="1"/>
    <m/>
    <m/>
    <m/>
    <m/>
    <m/>
    <m/>
  </r>
  <r>
    <x v="31"/>
    <n v="980"/>
    <n v="1490"/>
    <x v="31"/>
    <x v="0"/>
    <x v="7"/>
    <x v="3"/>
    <x v="0"/>
    <m/>
    <m/>
    <m/>
    <m/>
    <m/>
    <m/>
  </r>
  <r>
    <x v="32"/>
    <n v="1820"/>
    <n v="3490"/>
    <x v="32"/>
    <x v="1"/>
    <x v="10"/>
    <x v="11"/>
    <x v="1"/>
    <m/>
    <m/>
    <m/>
    <m/>
    <m/>
    <m/>
  </r>
  <r>
    <x v="33"/>
    <n v="1940"/>
    <n v="2650"/>
    <x v="33"/>
    <x v="0"/>
    <x v="16"/>
    <x v="3"/>
    <x v="0"/>
    <m/>
    <m/>
    <m/>
    <m/>
    <m/>
    <m/>
  </r>
  <r>
    <x v="34"/>
    <n v="1980"/>
    <n v="2699"/>
    <x v="34"/>
    <x v="0"/>
    <x v="17"/>
    <x v="0"/>
    <x v="0"/>
    <m/>
    <m/>
    <m/>
    <m/>
    <m/>
    <m/>
  </r>
  <r>
    <x v="35"/>
    <n v="1620"/>
    <n v="2690"/>
    <x v="35"/>
    <x v="0"/>
    <x v="18"/>
    <x v="8"/>
    <x v="0"/>
    <m/>
    <m/>
    <m/>
    <m/>
    <m/>
    <m/>
  </r>
  <r>
    <x v="36"/>
    <n v="171"/>
    <n v="360"/>
    <x v="20"/>
    <x v="1"/>
    <x v="0"/>
    <x v="8"/>
    <x v="0"/>
    <m/>
    <m/>
    <m/>
    <m/>
    <m/>
    <m/>
  </r>
  <r>
    <x v="37"/>
    <n v="389"/>
    <n v="656"/>
    <x v="36"/>
    <x v="1"/>
    <x v="19"/>
    <x v="11"/>
    <x v="1"/>
    <m/>
    <m/>
    <m/>
    <m/>
    <m/>
    <m/>
  </r>
  <r>
    <x v="38"/>
    <n v="1800"/>
    <n v="2700"/>
    <x v="37"/>
    <x v="0"/>
    <x v="0"/>
    <x v="0"/>
    <x v="0"/>
    <m/>
    <m/>
    <m/>
    <m/>
    <m/>
    <m/>
  </r>
  <r>
    <x v="39"/>
    <n v="2750"/>
    <n v="4471"/>
    <x v="38"/>
    <x v="0"/>
    <x v="14"/>
    <x v="6"/>
    <x v="1"/>
    <m/>
    <m/>
    <m/>
    <m/>
    <m/>
    <m/>
  </r>
  <r>
    <x v="40"/>
    <n v="475"/>
    <n v="931"/>
    <x v="39"/>
    <x v="1"/>
    <x v="14"/>
    <x v="6"/>
    <x v="1"/>
    <m/>
    <m/>
    <m/>
    <m/>
    <m/>
    <m/>
  </r>
  <r>
    <x v="41"/>
    <n v="238"/>
    <n v="476"/>
    <x v="40"/>
    <x v="1"/>
    <x v="14"/>
    <x v="6"/>
    <x v="1"/>
    <m/>
    <m/>
    <m/>
    <m/>
    <m/>
    <m/>
  </r>
  <r>
    <x v="42"/>
    <n v="610"/>
    <n v="1060"/>
    <x v="41"/>
    <x v="1"/>
    <x v="14"/>
    <x v="6"/>
    <x v="1"/>
    <m/>
    <m/>
    <m/>
    <m/>
    <m/>
    <m/>
  </r>
  <r>
    <x v="43"/>
    <n v="2132"/>
    <n v="2169"/>
    <x v="42"/>
    <x v="2"/>
    <x v="14"/>
    <x v="6"/>
    <x v="1"/>
    <m/>
    <m/>
    <m/>
    <m/>
    <m/>
    <m/>
  </r>
  <r>
    <x v="44"/>
    <n v="999"/>
    <n v="2000"/>
    <x v="43"/>
    <x v="1"/>
    <x v="14"/>
    <x v="6"/>
    <x v="1"/>
    <m/>
    <m/>
    <m/>
    <m/>
    <m/>
    <m/>
  </r>
  <r>
    <x v="45"/>
    <n v="1190"/>
    <n v="1785"/>
    <x v="37"/>
    <x v="0"/>
    <x v="14"/>
    <x v="6"/>
    <x v="1"/>
    <m/>
    <m/>
    <m/>
    <m/>
    <m/>
    <m/>
  </r>
  <r>
    <x v="46"/>
    <n v="671"/>
    <n v="1316"/>
    <x v="44"/>
    <x v="1"/>
    <x v="14"/>
    <x v="6"/>
    <x v="1"/>
    <m/>
    <m/>
    <m/>
    <m/>
    <m/>
    <m/>
  </r>
  <r>
    <x v="47"/>
    <n v="1200"/>
    <n v="1950"/>
    <x v="45"/>
    <x v="0"/>
    <x v="14"/>
    <x v="6"/>
    <x v="1"/>
    <m/>
    <m/>
    <m/>
    <m/>
    <m/>
    <m/>
  </r>
  <r>
    <x v="48"/>
    <n v="199"/>
    <n v="504"/>
    <x v="46"/>
    <x v="1"/>
    <x v="14"/>
    <x v="6"/>
    <x v="1"/>
    <m/>
    <m/>
    <m/>
    <m/>
    <m/>
    <m/>
  </r>
  <r>
    <x v="49"/>
    <n v="299"/>
    <n v="600"/>
    <x v="47"/>
    <x v="1"/>
    <x v="14"/>
    <x v="6"/>
    <x v="1"/>
    <m/>
    <m/>
    <m/>
    <m/>
    <m/>
    <m/>
  </r>
  <r>
    <x v="50"/>
    <n v="1660"/>
    <n v="1699"/>
    <x v="48"/>
    <x v="2"/>
    <x v="14"/>
    <x v="6"/>
    <x v="1"/>
    <m/>
    <m/>
    <m/>
    <m/>
    <m/>
    <m/>
  </r>
  <r>
    <x v="51"/>
    <n v="299"/>
    <n v="384"/>
    <x v="49"/>
    <x v="0"/>
    <x v="14"/>
    <x v="6"/>
    <x v="1"/>
    <m/>
    <m/>
    <m/>
    <m/>
    <m/>
    <m/>
  </r>
  <r>
    <x v="52"/>
    <n v="1459"/>
    <n v="1499"/>
    <x v="50"/>
    <x v="2"/>
    <x v="14"/>
    <x v="6"/>
    <x v="1"/>
    <m/>
    <m/>
    <m/>
    <m/>
    <m/>
    <m/>
  </r>
  <r>
    <x v="53"/>
    <n v="799"/>
    <n v="1343"/>
    <x v="51"/>
    <x v="1"/>
    <x v="14"/>
    <x v="6"/>
    <x v="1"/>
    <m/>
    <m/>
    <m/>
    <m/>
    <m/>
    <m/>
  </r>
  <r>
    <x v="54"/>
    <n v="499"/>
    <n v="900"/>
    <x v="52"/>
    <x v="1"/>
    <x v="14"/>
    <x v="6"/>
    <x v="1"/>
    <m/>
    <m/>
    <m/>
    <m/>
    <m/>
    <m/>
  </r>
  <r>
    <x v="55"/>
    <n v="699"/>
    <n v="1343"/>
    <x v="53"/>
    <x v="1"/>
    <x v="14"/>
    <x v="6"/>
    <x v="1"/>
    <m/>
    <m/>
    <m/>
    <m/>
    <m/>
    <m/>
  </r>
  <r>
    <x v="56"/>
    <n v="799"/>
    <n v="1567"/>
    <x v="54"/>
    <x v="1"/>
    <x v="14"/>
    <x v="6"/>
    <x v="1"/>
    <m/>
    <m/>
    <m/>
    <m/>
    <m/>
    <m/>
  </r>
  <r>
    <x v="57"/>
    <n v="2799"/>
    <n v="3810"/>
    <x v="55"/>
    <x v="0"/>
    <x v="14"/>
    <x v="6"/>
    <x v="1"/>
    <m/>
    <m/>
    <m/>
    <m/>
    <m/>
    <m/>
  </r>
  <r>
    <x v="54"/>
    <n v="399"/>
    <n v="896"/>
    <x v="56"/>
    <x v="1"/>
    <x v="14"/>
    <x v="6"/>
    <x v="1"/>
    <m/>
    <m/>
    <m/>
    <m/>
    <m/>
    <m/>
  </r>
  <r>
    <x v="58"/>
    <n v="2170"/>
    <n v="2500"/>
    <x v="57"/>
    <x v="2"/>
    <x v="9"/>
    <x v="12"/>
    <x v="2"/>
    <m/>
    <m/>
    <m/>
    <m/>
    <m/>
    <m/>
  </r>
  <r>
    <x v="59"/>
    <n v="458"/>
    <n v="986"/>
    <x v="58"/>
    <x v="1"/>
    <x v="20"/>
    <x v="13"/>
    <x v="1"/>
    <m/>
    <m/>
    <m/>
    <m/>
    <m/>
    <m/>
  </r>
  <r>
    <x v="60"/>
    <n v="2115"/>
    <n v="4700"/>
    <x v="59"/>
    <x v="1"/>
    <x v="13"/>
    <x v="14"/>
    <x v="2"/>
    <m/>
    <m/>
    <m/>
    <m/>
    <m/>
    <m/>
  </r>
  <r>
    <x v="61"/>
    <n v="445"/>
    <n v="873"/>
    <x v="60"/>
    <x v="1"/>
    <x v="21"/>
    <x v="15"/>
    <x v="2"/>
    <m/>
    <m/>
    <m/>
    <m/>
    <m/>
    <m/>
  </r>
  <r>
    <x v="62"/>
    <n v="325"/>
    <n v="680"/>
    <x v="61"/>
    <x v="1"/>
    <x v="5"/>
    <x v="16"/>
    <x v="2"/>
    <m/>
    <m/>
    <m/>
    <m/>
    <m/>
    <m/>
  </r>
  <r>
    <x v="63"/>
    <n v="1220"/>
    <n v="1555"/>
    <x v="62"/>
    <x v="0"/>
    <x v="22"/>
    <x v="17"/>
    <x v="2"/>
    <m/>
    <m/>
    <m/>
    <m/>
    <m/>
    <m/>
  </r>
  <r>
    <x v="64"/>
    <n v="990"/>
    <n v="1814"/>
    <x v="63"/>
    <x v="1"/>
    <x v="9"/>
    <x v="18"/>
    <x v="2"/>
    <m/>
    <m/>
    <m/>
    <m/>
    <m/>
    <m/>
  </r>
  <r>
    <x v="65"/>
    <n v="1000"/>
    <n v="2000"/>
    <x v="40"/>
    <x v="1"/>
    <x v="3"/>
    <x v="19"/>
    <x v="2"/>
    <m/>
    <m/>
    <m/>
    <m/>
    <m/>
    <m/>
  </r>
  <r>
    <x v="66"/>
    <n v="3750"/>
    <n v="6143"/>
    <x v="64"/>
    <x v="0"/>
    <x v="4"/>
    <x v="13"/>
    <x v="1"/>
    <m/>
    <m/>
    <m/>
    <m/>
    <m/>
    <m/>
  </r>
  <r>
    <x v="67"/>
    <n v="382"/>
    <n v="700"/>
    <x v="65"/>
    <x v="1"/>
    <x v="23"/>
    <x v="20"/>
    <x v="2"/>
    <m/>
    <m/>
    <m/>
    <m/>
    <m/>
    <m/>
  </r>
  <r>
    <x v="68"/>
    <n v="2300"/>
    <n v="3240"/>
    <x v="66"/>
    <x v="0"/>
    <x v="4"/>
    <x v="13"/>
    <x v="1"/>
    <m/>
    <m/>
    <m/>
    <m/>
    <m/>
    <m/>
  </r>
  <r>
    <x v="69"/>
    <n v="345"/>
    <n v="602"/>
    <x v="67"/>
    <x v="1"/>
    <x v="9"/>
    <x v="19"/>
    <x v="2"/>
    <m/>
    <m/>
    <m/>
    <m/>
    <m/>
    <m/>
  </r>
  <r>
    <x v="70"/>
    <n v="509"/>
    <n v="899"/>
    <x v="68"/>
    <x v="1"/>
    <x v="4"/>
    <x v="13"/>
    <x v="1"/>
    <m/>
    <m/>
    <m/>
    <m/>
    <m/>
    <m/>
  </r>
  <r>
    <x v="71"/>
    <n v="968"/>
    <n v="1814"/>
    <x v="69"/>
    <x v="1"/>
    <x v="9"/>
    <x v="18"/>
    <x v="2"/>
    <m/>
    <m/>
    <m/>
    <m/>
    <m/>
    <m/>
  </r>
  <r>
    <x v="72"/>
    <n v="1570"/>
    <n v="2988"/>
    <x v="70"/>
    <x v="1"/>
    <x v="3"/>
    <x v="14"/>
    <x v="2"/>
    <m/>
    <m/>
    <m/>
    <m/>
    <m/>
    <m/>
  </r>
  <r>
    <x v="73"/>
    <n v="790"/>
    <n v="1485"/>
    <x v="71"/>
    <x v="1"/>
    <x v="14"/>
    <x v="6"/>
    <x v="1"/>
    <m/>
    <m/>
    <m/>
    <m/>
    <m/>
    <m/>
  </r>
  <r>
    <x v="74"/>
    <n v="690"/>
    <n v="1200"/>
    <x v="72"/>
    <x v="1"/>
    <x v="14"/>
    <x v="6"/>
    <x v="1"/>
    <m/>
    <m/>
    <m/>
    <m/>
    <m/>
    <m/>
  </r>
  <r>
    <x v="75"/>
    <n v="1732"/>
    <n v="1799"/>
    <x v="73"/>
    <x v="2"/>
    <x v="14"/>
    <x v="6"/>
    <x v="1"/>
    <m/>
    <m/>
    <m/>
    <m/>
    <m/>
    <m/>
  </r>
  <r>
    <x v="76"/>
    <n v="230"/>
    <n v="450"/>
    <x v="74"/>
    <x v="1"/>
    <x v="14"/>
    <x v="6"/>
    <x v="1"/>
    <m/>
    <m/>
    <m/>
    <m/>
    <m/>
    <m/>
  </r>
  <r>
    <x v="77"/>
    <n v="1189"/>
    <n v="2199"/>
    <x v="75"/>
    <x v="1"/>
    <x v="18"/>
    <x v="13"/>
    <x v="1"/>
    <m/>
    <m/>
    <m/>
    <m/>
    <m/>
    <m/>
  </r>
  <r>
    <x v="78"/>
    <n v="979"/>
    <n v="1920"/>
    <x v="76"/>
    <x v="1"/>
    <x v="18"/>
    <x v="8"/>
    <x v="0"/>
    <m/>
    <m/>
    <m/>
    <m/>
    <m/>
    <m/>
  </r>
  <r>
    <x v="79"/>
    <n v="1460"/>
    <n v="2290"/>
    <x v="77"/>
    <x v="0"/>
    <x v="14"/>
    <x v="6"/>
    <x v="1"/>
    <m/>
    <m/>
    <m/>
    <m/>
    <m/>
    <m/>
  </r>
  <r>
    <x v="80"/>
    <n v="1666"/>
    <n v="1699"/>
    <x v="78"/>
    <x v="2"/>
    <x v="14"/>
    <x v="6"/>
    <x v="1"/>
    <m/>
    <m/>
    <m/>
    <m/>
    <m/>
    <m/>
  </r>
  <r>
    <x v="81"/>
    <n v="330"/>
    <n v="647"/>
    <x v="79"/>
    <x v="1"/>
    <x v="18"/>
    <x v="5"/>
    <x v="1"/>
    <m/>
    <m/>
    <m/>
    <m/>
    <m/>
    <m/>
  </r>
  <r>
    <x v="48"/>
    <n v="176"/>
    <n v="345"/>
    <x v="80"/>
    <x v="1"/>
    <x v="14"/>
    <x v="6"/>
    <x v="1"/>
    <m/>
    <m/>
    <m/>
    <m/>
    <m/>
    <m/>
  </r>
  <r>
    <x v="82"/>
    <n v="1466"/>
    <n v="1699"/>
    <x v="81"/>
    <x v="2"/>
    <x v="14"/>
    <x v="6"/>
    <x v="1"/>
    <m/>
    <m/>
    <m/>
    <m/>
    <m/>
    <m/>
  </r>
  <r>
    <x v="83"/>
    <n v="274"/>
    <n v="537"/>
    <x v="82"/>
    <x v="1"/>
    <x v="14"/>
    <x v="6"/>
    <x v="1"/>
    <m/>
    <m/>
    <m/>
    <m/>
    <m/>
    <m/>
  </r>
  <r>
    <x v="84"/>
    <n v="799"/>
    <n v="900"/>
    <x v="83"/>
    <x v="2"/>
    <x v="14"/>
    <x v="6"/>
    <x v="1"/>
    <m/>
    <m/>
    <m/>
    <m/>
    <m/>
    <m/>
  </r>
  <r>
    <x v="56"/>
    <n v="657"/>
    <n v="1288"/>
    <x v="84"/>
    <x v="1"/>
    <x v="14"/>
    <x v="6"/>
    <x v="1"/>
    <m/>
    <m/>
    <m/>
    <m/>
    <m/>
    <m/>
  </r>
  <r>
    <x v="85"/>
    <n v="1468"/>
    <n v="1699"/>
    <x v="85"/>
    <x v="2"/>
    <x v="14"/>
    <x v="6"/>
    <x v="1"/>
    <m/>
    <m/>
    <m/>
    <m/>
    <m/>
    <m/>
  </r>
  <r>
    <x v="86"/>
    <n v="630"/>
    <n v="1100"/>
    <x v="86"/>
    <x v="1"/>
    <x v="14"/>
    <x v="6"/>
    <x v="1"/>
    <m/>
    <m/>
    <m/>
    <m/>
    <m/>
    <m/>
  </r>
  <r>
    <x v="87"/>
    <n v="850"/>
    <n v="1700"/>
    <x v="40"/>
    <x v="1"/>
    <x v="14"/>
    <x v="6"/>
    <x v="1"/>
    <m/>
    <m/>
    <m/>
    <m/>
    <m/>
    <m/>
  </r>
  <r>
    <x v="88"/>
    <n v="1300"/>
    <n v="2500"/>
    <x v="87"/>
    <x v="1"/>
    <x v="14"/>
    <x v="6"/>
    <x v="1"/>
    <m/>
    <m/>
    <m/>
    <m/>
    <m/>
    <m/>
  </r>
  <r>
    <x v="89"/>
    <n v="105"/>
    <n v="200"/>
    <x v="88"/>
    <x v="1"/>
    <x v="14"/>
    <x v="6"/>
    <x v="1"/>
    <m/>
    <m/>
    <m/>
    <m/>
    <m/>
    <m/>
  </r>
  <r>
    <x v="90"/>
    <n v="899"/>
    <n v="1699"/>
    <x v="89"/>
    <x v="1"/>
    <x v="14"/>
    <x v="6"/>
    <x v="1"/>
    <m/>
    <m/>
    <m/>
    <m/>
    <m/>
    <m/>
  </r>
  <r>
    <x v="91"/>
    <n v="1200"/>
    <n v="2400"/>
    <x v="40"/>
    <x v="1"/>
    <x v="14"/>
    <x v="6"/>
    <x v="1"/>
    <m/>
    <m/>
    <m/>
    <m/>
    <m/>
    <m/>
  </r>
  <r>
    <x v="92"/>
    <n v="1526"/>
    <n v="1660"/>
    <x v="90"/>
    <x v="2"/>
    <x v="14"/>
    <x v="6"/>
    <x v="1"/>
    <m/>
    <m/>
    <m/>
    <m/>
    <m/>
    <m/>
  </r>
  <r>
    <x v="93"/>
    <n v="1462"/>
    <n v="1499"/>
    <x v="91"/>
    <x v="2"/>
    <x v="14"/>
    <x v="6"/>
    <x v="1"/>
    <m/>
    <m/>
    <m/>
    <m/>
    <m/>
    <m/>
  </r>
  <r>
    <x v="94"/>
    <n v="248"/>
    <n v="486"/>
    <x v="92"/>
    <x v="1"/>
    <x v="14"/>
    <x v="6"/>
    <x v="1"/>
    <m/>
    <m/>
    <m/>
    <m/>
    <m/>
    <m/>
  </r>
  <r>
    <x v="95"/>
    <n v="3546"/>
    <n v="3699"/>
    <x v="93"/>
    <x v="2"/>
    <x v="14"/>
    <x v="6"/>
    <x v="1"/>
    <m/>
    <m/>
    <m/>
    <m/>
    <m/>
    <m/>
  </r>
  <r>
    <x v="96"/>
    <n v="525"/>
    <n v="1029"/>
    <x v="39"/>
    <x v="1"/>
    <x v="14"/>
    <x v="6"/>
    <x v="1"/>
    <m/>
    <m/>
    <m/>
    <m/>
    <m/>
    <m/>
  </r>
  <r>
    <x v="97"/>
    <n v="1080"/>
    <n v="1874"/>
    <x v="94"/>
    <x v="1"/>
    <x v="14"/>
    <x v="6"/>
    <x v="1"/>
    <m/>
    <m/>
    <m/>
    <m/>
    <m/>
    <m/>
  </r>
  <r>
    <x v="98"/>
    <n v="3640"/>
    <n v="4588"/>
    <x v="95"/>
    <x v="0"/>
    <x v="18"/>
    <x v="8"/>
    <x v="0"/>
    <m/>
    <m/>
    <m/>
    <m/>
    <m/>
    <m/>
  </r>
  <r>
    <x v="99"/>
    <n v="1420"/>
    <n v="2420"/>
    <x v="96"/>
    <x v="1"/>
    <x v="14"/>
    <x v="6"/>
    <x v="1"/>
    <m/>
    <m/>
    <m/>
    <m/>
    <m/>
    <m/>
  </r>
  <r>
    <x v="100"/>
    <n v="1875"/>
    <n v="1899"/>
    <x v="97"/>
    <x v="2"/>
    <x v="14"/>
    <x v="6"/>
    <x v="1"/>
    <m/>
    <m/>
    <m/>
    <m/>
    <m/>
    <m/>
  </r>
  <r>
    <x v="101"/>
    <n v="198"/>
    <n v="260"/>
    <x v="98"/>
    <x v="0"/>
    <x v="14"/>
    <x v="6"/>
    <x v="1"/>
    <m/>
    <m/>
    <m/>
    <m/>
    <m/>
    <m/>
  </r>
  <r>
    <x v="102"/>
    <n v="1150"/>
    <n v="1737"/>
    <x v="99"/>
    <x v="0"/>
    <x v="14"/>
    <x v="6"/>
    <x v="1"/>
    <m/>
    <m/>
    <m/>
    <m/>
    <m/>
    <m/>
  </r>
  <r>
    <x v="103"/>
    <n v="1190"/>
    <n v="1810"/>
    <x v="100"/>
    <x v="0"/>
    <x v="14"/>
    <x v="6"/>
    <x v="1"/>
    <m/>
    <m/>
    <m/>
    <m/>
    <m/>
    <m/>
  </r>
  <r>
    <x v="104"/>
    <n v="1658"/>
    <n v="1699"/>
    <x v="101"/>
    <x v="2"/>
    <x v="14"/>
    <x v="6"/>
    <x v="1"/>
    <m/>
    <m/>
    <m/>
    <m/>
    <m/>
    <m/>
  </r>
  <r>
    <x v="105"/>
    <n v="1768"/>
    <n v="1799"/>
    <x v="102"/>
    <x v="2"/>
    <x v="14"/>
    <x v="6"/>
    <x v="1"/>
    <m/>
    <m/>
    <m/>
    <m/>
    <m/>
    <m/>
  </r>
  <r>
    <x v="106"/>
    <n v="199"/>
    <n v="553"/>
    <x v="103"/>
    <x v="1"/>
    <x v="14"/>
    <x v="6"/>
    <x v="1"/>
    <m/>
    <m/>
    <m/>
    <m/>
    <m/>
    <m/>
  </r>
  <r>
    <x v="107"/>
    <n v="450"/>
    <n v="900"/>
    <x v="40"/>
    <x v="1"/>
    <x v="18"/>
    <x v="21"/>
    <x v="2"/>
    <m/>
    <m/>
    <m/>
    <m/>
    <m/>
    <m/>
  </r>
  <r>
    <x v="108"/>
    <n v="169"/>
    <n v="320"/>
    <x v="104"/>
    <x v="1"/>
    <x v="14"/>
    <x v="6"/>
    <x v="1"/>
    <m/>
    <m/>
    <m/>
    <m/>
    <m/>
    <m/>
  </r>
  <r>
    <x v="109"/>
    <m/>
    <m/>
    <x v="105"/>
    <x v="3"/>
    <x v="24"/>
    <x v="22"/>
    <x v="3"/>
    <m/>
    <m/>
    <m/>
    <m/>
    <m/>
    <m/>
  </r>
  <r>
    <x v="109"/>
    <s v="Average"/>
    <s v="Average"/>
    <x v="106"/>
    <x v="3"/>
    <x v="24"/>
    <x v="22"/>
    <x v="3"/>
    <m/>
    <m/>
    <m/>
    <m/>
    <m/>
    <m/>
  </r>
  <r>
    <x v="109"/>
    <n v="1186.8928571428571"/>
    <n v="1811.1071428571429"/>
    <x v="107"/>
    <x v="3"/>
    <x v="24"/>
    <x v="22"/>
    <x v="3"/>
    <m/>
    <m/>
    <m/>
    <m/>
    <m/>
    <m/>
  </r>
  <r>
    <x v="109"/>
    <s v="Most expensive product"/>
    <m/>
    <x v="105"/>
    <x v="3"/>
    <x v="24"/>
    <x v="22"/>
    <x v="3"/>
    <m/>
    <m/>
    <m/>
    <m/>
    <m/>
    <m/>
  </r>
  <r>
    <x v="109"/>
    <n v="3750"/>
    <s v="32PCS Portable Cordless Drill Set With Cyclic Battery Drive -26 Variable Speed"/>
    <x v="105"/>
    <x v="3"/>
    <x v="24"/>
    <x v="22"/>
    <x v="3"/>
    <m/>
    <m/>
    <m/>
    <m/>
    <m/>
    <m/>
  </r>
  <r>
    <x v="109"/>
    <m/>
    <m/>
    <x v="105"/>
    <x v="3"/>
    <x v="24"/>
    <x v="22"/>
    <x v="3"/>
    <m/>
    <m/>
    <m/>
    <m/>
    <m/>
    <m/>
  </r>
  <r>
    <x v="109"/>
    <s v="Least expensive product"/>
    <m/>
    <x v="105"/>
    <x v="3"/>
    <x v="24"/>
    <x v="22"/>
    <x v="3"/>
    <m/>
    <m/>
    <m/>
    <m/>
    <m/>
    <m/>
  </r>
  <r>
    <x v="109"/>
    <n v="38"/>
    <s v="3PCS Single Head Knitting Crochet Sweater Needle Set"/>
    <x v="105"/>
    <x v="3"/>
    <x v="24"/>
    <x v="22"/>
    <x v="3"/>
    <m/>
    <m/>
    <m/>
    <m/>
    <m/>
    <m/>
  </r>
  <r>
    <x v="109"/>
    <m/>
    <m/>
    <x v="105"/>
    <x v="3"/>
    <x v="24"/>
    <x v="22"/>
    <x v="3"/>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6:B23" firstHeaderRow="1" firstDataRow="1" firstDataCol="1"/>
  <pivotFields count="14">
    <pivotField axis="axisRow" showAll="0" measureFilter="1">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showAll="0"/>
    <pivotField showAll="0"/>
    <pivotField showAll="0"/>
    <pivotField showAll="0"/>
    <pivotField showAll="0">
      <items count="10">
        <item x="0"/>
        <item x="1"/>
        <item x="2"/>
        <item x="3"/>
        <item x="4"/>
        <item x="5"/>
        <item x="6"/>
        <item x="7"/>
        <item x="8"/>
        <item t="default"/>
      </items>
    </pivotField>
    <pivotField dataField="1" showAll="0">
      <items count="24">
        <item x="21"/>
        <item x="14"/>
        <item x="18"/>
        <item x="19"/>
        <item x="12"/>
        <item x="20"/>
        <item x="16"/>
        <item x="15"/>
        <item x="17"/>
        <item x="13"/>
        <item x="9"/>
        <item x="6"/>
        <item x="5"/>
        <item x="1"/>
        <item x="7"/>
        <item x="11"/>
        <item x="10"/>
        <item x="0"/>
        <item x="2"/>
        <item x="3"/>
        <item x="4"/>
        <item x="8"/>
        <item x="22"/>
        <item t="default"/>
      </items>
    </pivotField>
    <pivotField showAll="0"/>
    <pivotField showAll="0"/>
    <pivotField showAll="0"/>
    <pivotField showAll="0"/>
    <pivotField showAll="0"/>
    <pivotField showAll="0"/>
    <pivotField showAll="0"/>
  </pivotFields>
  <rowFields count="1">
    <field x="0"/>
  </rowFields>
  <rowItems count="7">
    <i>
      <x v="30"/>
    </i>
    <i>
      <x v="35"/>
    </i>
    <i>
      <x v="41"/>
    </i>
    <i>
      <x v="58"/>
    </i>
    <i>
      <x v="104"/>
    </i>
    <i>
      <x v="109"/>
    </i>
    <i t="grand">
      <x/>
    </i>
  </rowItems>
  <colItems count="1">
    <i/>
  </colItems>
  <dataFields count="1">
    <dataField name="Min of Ratings" fld="6" subtotal="min" baseField="0" baseItem="0"/>
  </dataFields>
  <pivotTableStyleInfo name="PivotStyleLight16" showRowHeaders="1" showColHeaders="1" showRowStripes="0" showColStripes="0" showLastColumn="1"/>
  <filters count="1">
    <filter fld="0"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1" firstHeaderRow="1" firstDataRow="1" firstDataCol="1"/>
  <pivotFields count="14">
    <pivotField axis="axisRow" showAll="0" measureFilter="1" sortType="descending">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0">
        <item x="0"/>
        <item x="1"/>
        <item x="2"/>
        <item x="3"/>
        <item x="4"/>
        <item x="5"/>
        <item x="6"/>
        <item x="7"/>
        <item x="8"/>
        <item t="default"/>
      </items>
    </pivotField>
    <pivotField dataField="1" showAll="0"/>
    <pivotField showAll="0"/>
    <pivotField showAll="0"/>
    <pivotField showAll="0"/>
    <pivotField showAll="0"/>
    <pivotField showAll="0"/>
    <pivotField showAll="0"/>
    <pivotField showAll="0"/>
  </pivotFields>
  <rowFields count="1">
    <field x="0"/>
  </rowFields>
  <rowItems count="8">
    <i>
      <x v="40"/>
    </i>
    <i>
      <x v="68"/>
    </i>
    <i>
      <x v="65"/>
    </i>
    <i>
      <x v="44"/>
    </i>
    <i>
      <x v="87"/>
    </i>
    <i>
      <x v="52"/>
    </i>
    <i>
      <x v="57"/>
    </i>
    <i t="grand">
      <x/>
    </i>
  </rowItems>
  <colItems count="1">
    <i/>
  </colItems>
  <dataFields count="1">
    <dataField name="Max of Ratings" fld="6" subtotal="max" baseField="0" baseItem="2"/>
  </dataFields>
  <pivotTableStyleInfo name="PivotStyleLight16" showRowHeaders="1" showColHeaders="1" showRowStripes="0" showColStripes="0" showLastColumn="1"/>
  <filters count="1">
    <filter fld="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6" firstHeaderRow="0" firstDataRow="1" firstDataCol="1"/>
  <pivotFields count="14">
    <pivotField showAll="0"/>
    <pivotField showAll="0"/>
    <pivotField showAll="0"/>
    <pivotField showAll="0"/>
    <pivotField axis="axisRow" showAll="0">
      <items count="5">
        <item x="1"/>
        <item x="2"/>
        <item h="1" x="0"/>
        <item h="1" x="3"/>
        <item t="default"/>
      </items>
    </pivotField>
    <pivotField dataField="1" showAll="0">
      <items count="10">
        <item x="0"/>
        <item x="1"/>
        <item x="2"/>
        <item x="3"/>
        <item x="4"/>
        <item x="5"/>
        <item x="6"/>
        <item x="7"/>
        <item x="8"/>
        <item t="default"/>
      </items>
    </pivotField>
    <pivotField dataField="1" showAll="0"/>
    <pivotField showAll="0"/>
    <pivotField showAll="0"/>
    <pivotField showAll="0"/>
    <pivotField showAll="0"/>
    <pivotField showAll="0"/>
    <pivotField showAll="0"/>
    <pivotField showAll="0"/>
  </pivotFields>
  <rowFields count="1">
    <field x="4"/>
  </rowFields>
  <rowItems count="3">
    <i>
      <x/>
    </i>
    <i>
      <x v="1"/>
    </i>
    <i t="grand">
      <x/>
    </i>
  </rowItems>
  <colFields count="1">
    <field x="-2"/>
  </colFields>
  <colItems count="2">
    <i>
      <x/>
    </i>
    <i i="1">
      <x v="1"/>
    </i>
  </colItems>
  <dataFields count="2">
    <dataField name="Average of Review" fld="5" subtotal="average" baseField="4" baseItem="1"/>
    <dataField name="Average of Ratings" fld="6" subtotal="average" baseField="4"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2"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7:B36" firstHeaderRow="1" firstDataRow="1" firstDataCol="1"/>
  <pivotFields count="14">
    <pivotField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showAll="0"/>
    <pivotField showAll="0"/>
    <pivotField dataField="1" showAll="0"/>
    <pivotField showAll="0"/>
    <pivotField axis="axisRow"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s>
  <rowFields count="1">
    <field x="5"/>
  </rowFields>
  <rowItems count="9">
    <i>
      <x/>
    </i>
    <i>
      <x v="1"/>
    </i>
    <i>
      <x v="2"/>
    </i>
    <i>
      <x v="3"/>
    </i>
    <i>
      <x v="4"/>
    </i>
    <i>
      <x v="5"/>
    </i>
    <i>
      <x v="6"/>
    </i>
    <i>
      <x v="7"/>
    </i>
    <i t="grand">
      <x/>
    </i>
  </rowItems>
  <colItems count="1">
    <i/>
  </colItems>
  <dataFields count="1">
    <dataField name="Max of Discount" fld="3" subtotal="max"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3"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A19:B25" firstHeaderRow="1" firstDataRow="1" firstDataCol="1"/>
  <pivotFields count="14">
    <pivotField axis="axisRow" showAll="0" measureFilter="1" sortType="descending">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s>
  <rowFields count="1">
    <field x="0"/>
  </rowFields>
  <rowItems count="6">
    <i>
      <x v="31"/>
    </i>
    <i>
      <x v="53"/>
    </i>
    <i>
      <x v="99"/>
    </i>
    <i>
      <x v="30"/>
    </i>
    <i>
      <x v="70"/>
    </i>
    <i t="grand">
      <x/>
    </i>
  </rowItems>
  <colItems count="1">
    <i/>
  </colItems>
  <dataFields count="1">
    <dataField name="Max of Discount" fld="3" subtotal="max" baseField="0" baseItem="1" numFmtId="9"/>
  </dataFields>
  <chartFormats count="2">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2"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0">
  <location ref="A11:B17" firstHeaderRow="1" firstDataRow="1" firstDataCol="1"/>
  <pivotFields count="14">
    <pivotField axis="axisRow" showAll="0" measureFilter="1" sortType="descending">
      <items count="111">
        <item x="109"/>
        <item x="70"/>
        <item x="3"/>
        <item x="69"/>
        <item x="85"/>
        <item x="107"/>
        <item x="92"/>
        <item x="87"/>
        <item x="63"/>
        <item x="105"/>
        <item x="54"/>
        <item x="104"/>
        <item x="43"/>
        <item x="89"/>
        <item x="37"/>
        <item x="88"/>
        <item x="26"/>
        <item x="93"/>
        <item x="2"/>
        <item x="4"/>
        <item x="51"/>
        <item x="50"/>
        <item x="16"/>
        <item x="84"/>
        <item x="82"/>
        <item x="59"/>
        <item x="52"/>
        <item x="29"/>
        <item x="86"/>
        <item x="14"/>
        <item x="41"/>
        <item x="95"/>
        <item x="1"/>
        <item x="77"/>
        <item x="18"/>
        <item x="102"/>
        <item x="22"/>
        <item x="32"/>
        <item x="39"/>
        <item x="8"/>
        <item x="13"/>
        <item x="17"/>
        <item x="24"/>
        <item x="68"/>
        <item x="98"/>
        <item x="62"/>
        <item x="81"/>
        <item x="10"/>
        <item x="23"/>
        <item x="30"/>
        <item x="25"/>
        <item x="72"/>
        <item x="35"/>
        <item x="7"/>
        <item x="53"/>
        <item x="75"/>
        <item x="48"/>
        <item x="36"/>
        <item x="55"/>
        <item x="44"/>
        <item x="103"/>
        <item x="83"/>
        <item x="46"/>
        <item x="49"/>
        <item x="108"/>
        <item x="78"/>
        <item x="42"/>
        <item x="96"/>
        <item x="64"/>
        <item x="15"/>
        <item x="56"/>
        <item x="67"/>
        <item x="99"/>
        <item x="97"/>
        <item x="71"/>
        <item x="76"/>
        <item x="45"/>
        <item x="90"/>
        <item x="106"/>
        <item x="60"/>
        <item x="79"/>
        <item x="33"/>
        <item x="34"/>
        <item x="28"/>
        <item x="58"/>
        <item x="21"/>
        <item x="40"/>
        <item x="12"/>
        <item x="94"/>
        <item x="20"/>
        <item x="74"/>
        <item x="19"/>
        <item x="65"/>
        <item x="66"/>
        <item x="73"/>
        <item x="47"/>
        <item x="91"/>
        <item x="100"/>
        <item x="5"/>
        <item x="80"/>
        <item x="101"/>
        <item x="6"/>
        <item x="9"/>
        <item x="57"/>
        <item x="61"/>
        <item x="31"/>
        <item x="27"/>
        <item x="0"/>
        <item x="11"/>
        <item x="3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s>
  <rowFields count="1">
    <field x="0"/>
  </rowFields>
  <rowItems count="6">
    <i>
      <x v="104"/>
    </i>
    <i>
      <x v="101"/>
    </i>
    <i>
      <x v="50"/>
    </i>
    <i>
      <x v="91"/>
    </i>
    <i>
      <x v="108"/>
    </i>
    <i t="grand">
      <x/>
    </i>
  </rowItems>
  <colItems count="1">
    <i/>
  </colItems>
  <dataFields count="1">
    <dataField name="Sum of Review" fld="5" baseField="0" baseItem="0"/>
  </dataField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1:B9" firstHeaderRow="1" firstDataRow="1" firstDataCol="1"/>
  <pivotFields count="14">
    <pivotField axis="axisRow" showAll="0" measureFilter="1">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showAll="0"/>
    <pivotField showAll="0"/>
    <pivotField showAll="0"/>
    <pivotField showAll="0"/>
    <pivotField showAll="0">
      <items count="10">
        <item x="0"/>
        <item x="1"/>
        <item x="2"/>
        <item x="3"/>
        <item x="4"/>
        <item x="5"/>
        <item x="6"/>
        <item x="7"/>
        <item x="8"/>
        <item t="default"/>
      </items>
    </pivotField>
    <pivotField dataField="1" showAll="0"/>
    <pivotField showAll="0"/>
    <pivotField showAll="0"/>
    <pivotField showAll="0"/>
    <pivotField showAll="0"/>
    <pivotField showAll="0"/>
    <pivotField showAll="0"/>
    <pivotField showAll="0"/>
  </pivotFields>
  <rowFields count="1">
    <field x="0"/>
  </rowFields>
  <rowItems count="8">
    <i>
      <x v="40"/>
    </i>
    <i>
      <x v="44"/>
    </i>
    <i>
      <x v="52"/>
    </i>
    <i>
      <x v="57"/>
    </i>
    <i>
      <x v="65"/>
    </i>
    <i>
      <x v="68"/>
    </i>
    <i>
      <x v="87"/>
    </i>
    <i t="grand">
      <x/>
    </i>
  </rowItems>
  <colItems count="1">
    <i/>
  </colItems>
  <dataFields count="1">
    <dataField name="Average of Ratings" fld="6" subtotal="average" baseField="0" baseItem="0"/>
  </dataField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6"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2:B67" firstHeaderRow="1" firstDataRow="1" firstDataCol="1"/>
  <pivotFields count="14">
    <pivotField dataField="1" showAll="0"/>
    <pivotField showAll="0"/>
    <pivotField showAll="0"/>
    <pivotField showAll="0"/>
    <pivotField axis="axisRow" showAll="0">
      <items count="5">
        <item x="1"/>
        <item x="2"/>
        <item x="0"/>
        <item x="3"/>
        <item t="default"/>
      </items>
    </pivotField>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65"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5:B60" firstHeaderRow="1" firstDataRow="1" firstDataCol="1"/>
  <pivotFields count="14">
    <pivotField dataField="1" showAll="0"/>
    <pivotField showAll="0"/>
    <pivotField showAll="0"/>
    <pivotField showAll="0"/>
    <pivotField showAll="0"/>
    <pivotField showAll="0">
      <items count="10">
        <item x="0"/>
        <item x="1"/>
        <item x="2"/>
        <item x="3"/>
        <item x="4"/>
        <item x="5"/>
        <item x="6"/>
        <item x="7"/>
        <item x="8"/>
        <item t="default"/>
      </items>
    </pivotField>
    <pivotField showAll="0"/>
    <pivotField axis="axisRow" showAll="0">
      <items count="5">
        <item x="1"/>
        <item x="0"/>
        <item x="2"/>
        <item x="3"/>
        <item t="default"/>
      </items>
    </pivotField>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Count of Product" fld="0"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4"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P1:Q10" firstHeaderRow="1" firstDataRow="1" firstDataCol="1"/>
  <pivotFields count="14">
    <pivotField showAll="0"/>
    <pivotField showAll="0"/>
    <pivotField showAll="0"/>
    <pivotField dataField="1" showAll="0">
      <items count="109">
        <item x="97"/>
        <item x="42"/>
        <item x="102"/>
        <item x="78"/>
        <item x="48"/>
        <item x="101"/>
        <item x="91"/>
        <item x="50"/>
        <item x="73"/>
        <item x="93"/>
        <item x="90"/>
        <item x="5"/>
        <item x="83"/>
        <item x="57"/>
        <item x="85"/>
        <item x="81"/>
        <item x="26"/>
        <item x="18"/>
        <item x="10"/>
        <item x="95"/>
        <item x="62"/>
        <item x="49"/>
        <item x="23"/>
        <item x="6"/>
        <item x="98"/>
        <item x="2"/>
        <item x="4"/>
        <item x="55"/>
        <item x="34"/>
        <item x="33"/>
        <item x="66"/>
        <item x="28"/>
        <item x="27"/>
        <item x="14"/>
        <item x="37"/>
        <item x="99"/>
        <item x="11"/>
        <item x="31"/>
        <item x="100"/>
        <item x="22"/>
        <item x="25"/>
        <item x="77"/>
        <item x="107"/>
        <item x="3"/>
        <item x="7"/>
        <item x="0"/>
        <item x="45"/>
        <item x="38"/>
        <item x="64"/>
        <item x="35"/>
        <item x="51"/>
        <item x="36"/>
        <item x="96"/>
        <item x="13"/>
        <item x="21"/>
        <item x="94"/>
        <item x="41"/>
        <item x="72"/>
        <item x="67"/>
        <item x="86"/>
        <item x="68"/>
        <item x="52"/>
        <item x="9"/>
        <item x="63"/>
        <item x="65"/>
        <item x="16"/>
        <item x="75"/>
        <item x="29"/>
        <item x="69"/>
        <item x="12"/>
        <item x="71"/>
        <item x="89"/>
        <item x="104"/>
        <item x="1"/>
        <item x="70"/>
        <item x="88"/>
        <item x="32"/>
        <item x="53"/>
        <item x="87"/>
        <item x="74"/>
        <item x="92"/>
        <item x="82"/>
        <item x="39"/>
        <item x="80"/>
        <item x="84"/>
        <item x="79"/>
        <item x="17"/>
        <item x="76"/>
        <item x="54"/>
        <item x="44"/>
        <item x="60"/>
        <item x="19"/>
        <item x="40"/>
        <item x="43"/>
        <item x="47"/>
        <item x="15"/>
        <item x="30"/>
        <item x="61"/>
        <item x="20"/>
        <item x="58"/>
        <item x="24"/>
        <item x="8"/>
        <item x="59"/>
        <item x="56"/>
        <item x="46"/>
        <item x="103"/>
        <item x="106"/>
        <item x="105"/>
        <item t="default"/>
      </items>
    </pivotField>
    <pivotField showAll="0"/>
    <pivotField axis="axisRow"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s>
  <rowFields count="1">
    <field x="5"/>
  </rowFields>
  <rowItems count="9">
    <i>
      <x/>
    </i>
    <i>
      <x v="1"/>
    </i>
    <i>
      <x v="2"/>
    </i>
    <i>
      <x v="3"/>
    </i>
    <i>
      <x v="4"/>
    </i>
    <i>
      <x v="5"/>
    </i>
    <i>
      <x v="6"/>
    </i>
    <i>
      <x v="7"/>
    </i>
    <i t="grand">
      <x/>
    </i>
  </rowItems>
  <colItems count="1">
    <i/>
  </colItems>
  <dataFields count="1">
    <dataField name="Average of Discount" fld="3" subtotal="average" baseField="5" baseItem="0" numFmtId="10"/>
  </dataFields>
  <formats count="5">
    <format dxfId="4">
      <pivotArea field="3" type="button" dataOnly="0" labelOnly="1" outline="0"/>
    </format>
    <format dxfId="3">
      <pivotArea dataOnly="0" labelOnly="1" grandRow="1" outline="0" fieldPosition="0"/>
    </format>
    <format dxfId="2">
      <pivotArea outline="0" collapsedLevelsAreSubtotals="1" fieldPosition="0"/>
    </format>
    <format dxfId="1">
      <pivotArea dataOnly="0" labelOnly="1" outline="0" axis="axisValues"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3"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O1:P25" firstHeaderRow="1" firstDataRow="1" firstDataCol="1"/>
  <pivotFields count="14">
    <pivotField showAll="0"/>
    <pivotField showAll="0"/>
    <pivotField showAll="0"/>
    <pivotField showAll="0"/>
    <pivotField showAll="0"/>
    <pivotField dataField="1" showAll="0">
      <items count="10">
        <item x="0"/>
        <item x="1"/>
        <item x="2"/>
        <item x="3"/>
        <item x="4"/>
        <item x="5"/>
        <item x="6"/>
        <item x="7"/>
        <item x="8"/>
        <item t="default"/>
      </items>
    </pivotField>
    <pivotField axis="axisRow" showAll="0">
      <items count="24">
        <item x="21"/>
        <item x="14"/>
        <item x="18"/>
        <item x="19"/>
        <item x="12"/>
        <item x="20"/>
        <item x="16"/>
        <item x="15"/>
        <item x="17"/>
        <item x="13"/>
        <item x="9"/>
        <item x="6"/>
        <item x="5"/>
        <item x="1"/>
        <item x="7"/>
        <item x="11"/>
        <item x="10"/>
        <item x="0"/>
        <item x="2"/>
        <item x="3"/>
        <item x="4"/>
        <item x="8"/>
        <item x="22"/>
        <item t="default"/>
      </items>
    </pivotField>
    <pivotField showAll="0"/>
    <pivotField showAll="0"/>
    <pivotField showAll="0"/>
    <pivotField showAll="0"/>
    <pivotField showAll="0"/>
    <pivotField showAll="0"/>
    <pivotField showAll="0"/>
  </pivotFields>
  <rowFields count="1">
    <field x="6"/>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Count of Review"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2"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7" firstHeaderRow="1" firstDataRow="1" firstDataCol="1"/>
  <pivotFields count="8">
    <pivotField dataField="1" showAll="0"/>
    <pivotField showAll="0">
      <items count="109">
        <item x="19"/>
        <item x="86"/>
        <item x="102"/>
        <item x="35"/>
        <item x="78"/>
        <item x="29"/>
        <item x="16"/>
        <item x="97"/>
        <item x="47"/>
        <item x="72"/>
        <item x="40"/>
        <item x="90"/>
        <item x="80"/>
        <item x="48"/>
        <item x="59"/>
        <item x="77"/>
        <item x="15"/>
        <item x="65"/>
        <item x="63"/>
        <item x="36"/>
        <item x="54"/>
        <item x="24"/>
        <item x="58"/>
        <item x="101"/>
        <item x="56"/>
        <item x="39"/>
        <item x="51"/>
        <item x="13"/>
        <item x="66"/>
        <item x="92"/>
        <item x="1"/>
        <item x="12"/>
        <item x="41"/>
        <item x="83"/>
        <item x="81"/>
        <item x="45"/>
        <item x="70"/>
        <item x="52"/>
        <item x="69"/>
        <item x="10"/>
        <item x="84"/>
        <item x="21"/>
        <item x="87"/>
        <item x="0"/>
        <item x="67"/>
        <item x="74"/>
        <item x="30"/>
        <item x="7"/>
        <item x="11"/>
        <item x="18"/>
        <item x="43"/>
        <item x="61"/>
        <item x="93"/>
        <item x="98"/>
        <item x="105"/>
        <item x="73"/>
        <item x="44"/>
        <item x="46"/>
        <item x="60"/>
        <item x="8"/>
        <item x="85"/>
        <item x="26"/>
        <item x="95"/>
        <item x="50"/>
        <item x="75"/>
        <item x="89"/>
        <item x="79"/>
        <item x="82"/>
        <item x="88"/>
        <item x="68"/>
        <item x="3"/>
        <item x="9"/>
        <item x="34"/>
        <item x="22"/>
        <item x="99"/>
        <item x="49"/>
        <item x="76"/>
        <item x="14"/>
        <item x="71"/>
        <item x="4"/>
        <item x="27"/>
        <item x="100"/>
        <item x="37"/>
        <item x="31"/>
        <item x="20"/>
        <item x="96"/>
        <item x="32"/>
        <item x="33"/>
        <item x="17"/>
        <item x="23"/>
        <item x="57"/>
        <item x="42"/>
        <item x="55"/>
        <item x="2"/>
        <item x="28"/>
        <item x="64"/>
        <item x="6"/>
        <item x="38"/>
        <item x="53"/>
        <item x="25"/>
        <item x="5"/>
        <item x="91"/>
        <item x="94"/>
        <item x="62"/>
        <item x="104"/>
        <item x="107"/>
        <item x="106"/>
        <item x="103"/>
        <item t="default"/>
      </items>
    </pivotField>
    <pivotField showAll="0">
      <items count="99">
        <item x="18"/>
        <item x="79"/>
        <item x="88"/>
        <item x="92"/>
        <item x="74"/>
        <item x="14"/>
        <item x="27"/>
        <item x="47"/>
        <item x="70"/>
        <item x="37"/>
        <item x="82"/>
        <item x="44"/>
        <item x="75"/>
        <item x="91"/>
        <item x="45"/>
        <item x="64"/>
        <item x="23"/>
        <item x="33"/>
        <item x="58"/>
        <item x="13"/>
        <item x="62"/>
        <item x="12"/>
        <item x="57"/>
        <item x="53"/>
        <item x="65"/>
        <item x="50"/>
        <item x="36"/>
        <item x="55"/>
        <item x="1"/>
        <item x="83"/>
        <item x="11"/>
        <item x="38"/>
        <item x="77"/>
        <item x="68"/>
        <item x="76"/>
        <item x="42"/>
        <item x="49"/>
        <item x="20"/>
        <item x="67"/>
        <item x="28"/>
        <item x="48"/>
        <item x="10"/>
        <item x="0"/>
        <item x="59"/>
        <item x="51"/>
        <item x="7"/>
        <item x="81"/>
        <item x="46"/>
        <item x="78"/>
        <item x="89"/>
        <item x="41"/>
        <item x="69"/>
        <item x="90"/>
        <item x="95"/>
        <item x="60"/>
        <item x="84"/>
        <item x="87"/>
        <item x="72"/>
        <item x="43"/>
        <item x="17"/>
        <item x="25"/>
        <item x="40"/>
        <item x="21"/>
        <item x="39"/>
        <item x="71"/>
        <item x="73"/>
        <item x="4"/>
        <item x="80"/>
        <item x="86"/>
        <item x="3"/>
        <item x="54"/>
        <item x="30"/>
        <item x="32"/>
        <item x="31"/>
        <item x="34"/>
        <item x="8"/>
        <item x="2"/>
        <item x="9"/>
        <item x="66"/>
        <item x="6"/>
        <item x="19"/>
        <item x="63"/>
        <item x="5"/>
        <item x="29"/>
        <item x="24"/>
        <item x="16"/>
        <item x="52"/>
        <item x="15"/>
        <item x="26"/>
        <item x="35"/>
        <item x="22"/>
        <item x="85"/>
        <item x="56"/>
        <item x="61"/>
        <item x="96"/>
        <item x="97"/>
        <item x="94"/>
        <item x="93"/>
        <item t="default"/>
      </items>
    </pivotField>
    <pivotField showAll="0"/>
    <pivotField showAll="0">
      <items count="5">
        <item x="1"/>
        <item x="2"/>
        <item x="0"/>
        <item x="3"/>
        <item t="default"/>
      </items>
    </pivotField>
    <pivotField showAll="0"/>
    <pivotField showAll="0"/>
    <pivotField axis="axisRow" showAll="0">
      <items count="5">
        <item x="1"/>
        <item x="0"/>
        <item x="2"/>
        <item h="1" x="3"/>
        <item t="default"/>
      </items>
    </pivotField>
  </pivotFields>
  <rowFields count="1">
    <field x="7"/>
  </rowFields>
  <rowItems count="4">
    <i>
      <x/>
    </i>
    <i>
      <x v="1"/>
    </i>
    <i>
      <x v="2"/>
    </i>
    <i t="grand">
      <x/>
    </i>
  </rowItems>
  <colItems count="1">
    <i/>
  </colItems>
  <dataFields count="1">
    <dataField name="Count of Product" fld="0" subtotal="count" baseField="0" baseItem="0"/>
  </dataFields>
  <chartFormats count="1">
    <chartFormat chart="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5"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2:B6" firstHeaderRow="1" firstDataRow="1" firstDataCol="1"/>
  <pivotFields count="14">
    <pivotField dataField="1" showAll="0"/>
    <pivotField showAll="0"/>
    <pivotField showAll="0"/>
    <pivotField showAll="0"/>
    <pivotField axis="axisRow" showAll="0">
      <items count="5">
        <item x="1"/>
        <item x="2"/>
        <item x="0"/>
        <item h="1" x="3"/>
        <item t="default"/>
      </items>
    </pivotField>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7" firstHeaderRow="0" firstDataRow="1" firstDataCol="1"/>
  <pivotFields count="8">
    <pivotField showAll="0"/>
    <pivotField showAll="0">
      <items count="109">
        <item x="19"/>
        <item x="86"/>
        <item x="102"/>
        <item x="35"/>
        <item x="78"/>
        <item x="29"/>
        <item x="16"/>
        <item x="97"/>
        <item x="47"/>
        <item x="72"/>
        <item x="40"/>
        <item x="90"/>
        <item x="80"/>
        <item x="48"/>
        <item x="59"/>
        <item x="77"/>
        <item x="15"/>
        <item x="65"/>
        <item x="63"/>
        <item x="36"/>
        <item x="54"/>
        <item x="24"/>
        <item x="58"/>
        <item x="101"/>
        <item x="56"/>
        <item x="39"/>
        <item x="51"/>
        <item x="13"/>
        <item x="66"/>
        <item x="92"/>
        <item x="1"/>
        <item x="12"/>
        <item x="41"/>
        <item x="83"/>
        <item x="81"/>
        <item x="45"/>
        <item x="70"/>
        <item x="52"/>
        <item x="69"/>
        <item x="10"/>
        <item x="84"/>
        <item x="21"/>
        <item x="87"/>
        <item x="0"/>
        <item x="67"/>
        <item x="74"/>
        <item x="30"/>
        <item x="7"/>
        <item x="11"/>
        <item x="18"/>
        <item x="43"/>
        <item x="61"/>
        <item x="93"/>
        <item x="98"/>
        <item x="105"/>
        <item x="73"/>
        <item x="44"/>
        <item x="46"/>
        <item x="60"/>
        <item x="8"/>
        <item x="85"/>
        <item x="26"/>
        <item x="95"/>
        <item x="50"/>
        <item x="75"/>
        <item x="89"/>
        <item x="79"/>
        <item x="82"/>
        <item x="88"/>
        <item x="68"/>
        <item x="3"/>
        <item x="9"/>
        <item x="34"/>
        <item x="22"/>
        <item x="99"/>
        <item x="49"/>
        <item x="76"/>
        <item x="14"/>
        <item x="71"/>
        <item x="4"/>
        <item x="27"/>
        <item x="100"/>
        <item x="37"/>
        <item x="31"/>
        <item x="20"/>
        <item x="96"/>
        <item x="32"/>
        <item x="33"/>
        <item x="17"/>
        <item x="23"/>
        <item x="57"/>
        <item x="42"/>
        <item x="55"/>
        <item x="2"/>
        <item x="28"/>
        <item x="64"/>
        <item x="6"/>
        <item x="38"/>
        <item x="53"/>
        <item x="25"/>
        <item x="5"/>
        <item x="91"/>
        <item x="94"/>
        <item x="62"/>
        <item x="104"/>
        <item x="107"/>
        <item x="106"/>
        <item x="103"/>
        <item t="default"/>
      </items>
    </pivotField>
    <pivotField showAll="0">
      <items count="99">
        <item x="18"/>
        <item x="79"/>
        <item x="88"/>
        <item x="92"/>
        <item x="74"/>
        <item x="14"/>
        <item x="27"/>
        <item x="47"/>
        <item x="70"/>
        <item x="37"/>
        <item x="82"/>
        <item x="44"/>
        <item x="75"/>
        <item x="91"/>
        <item x="45"/>
        <item x="64"/>
        <item x="23"/>
        <item x="33"/>
        <item x="58"/>
        <item x="13"/>
        <item x="62"/>
        <item x="12"/>
        <item x="57"/>
        <item x="53"/>
        <item x="65"/>
        <item x="50"/>
        <item x="36"/>
        <item x="55"/>
        <item x="1"/>
        <item x="83"/>
        <item x="11"/>
        <item x="38"/>
        <item x="77"/>
        <item x="68"/>
        <item x="76"/>
        <item x="42"/>
        <item x="49"/>
        <item x="20"/>
        <item x="67"/>
        <item x="28"/>
        <item x="48"/>
        <item x="10"/>
        <item x="0"/>
        <item x="59"/>
        <item x="51"/>
        <item x="7"/>
        <item x="81"/>
        <item x="46"/>
        <item x="78"/>
        <item x="89"/>
        <item x="41"/>
        <item x="69"/>
        <item x="90"/>
        <item x="95"/>
        <item x="60"/>
        <item x="84"/>
        <item x="87"/>
        <item x="72"/>
        <item x="43"/>
        <item x="17"/>
        <item x="25"/>
        <item x="40"/>
        <item x="21"/>
        <item x="39"/>
        <item x="71"/>
        <item x="73"/>
        <item x="4"/>
        <item x="80"/>
        <item x="86"/>
        <item x="3"/>
        <item x="54"/>
        <item x="30"/>
        <item x="32"/>
        <item x="31"/>
        <item x="34"/>
        <item x="8"/>
        <item x="2"/>
        <item x="9"/>
        <item x="66"/>
        <item x="6"/>
        <item x="19"/>
        <item x="63"/>
        <item x="5"/>
        <item x="29"/>
        <item x="24"/>
        <item x="16"/>
        <item x="52"/>
        <item x="15"/>
        <item x="26"/>
        <item x="35"/>
        <item x="22"/>
        <item x="85"/>
        <item x="56"/>
        <item x="61"/>
        <item x="96"/>
        <item x="97"/>
        <item x="94"/>
        <item x="93"/>
        <item t="default"/>
      </items>
    </pivotField>
    <pivotField dataField="1" showAll="0"/>
    <pivotField axis="axisRow" showAll="0">
      <items count="5">
        <item x="1"/>
        <item x="2"/>
        <item x="0"/>
        <item x="3"/>
        <item t="default"/>
      </items>
    </pivotField>
    <pivotField showAll="0"/>
    <pivotField dataField="1" showAll="0"/>
    <pivotField showAll="0">
      <items count="5">
        <item x="1"/>
        <item x="0"/>
        <item x="2"/>
        <item h="1" x="3"/>
        <item t="default"/>
      </items>
    </pivotField>
  </pivotFields>
  <rowFields count="1">
    <field x="4"/>
  </rowFields>
  <rowItems count="4">
    <i>
      <x/>
    </i>
    <i>
      <x v="1"/>
    </i>
    <i>
      <x v="2"/>
    </i>
    <i t="grand">
      <x/>
    </i>
  </rowItems>
  <colFields count="1">
    <field x="-2"/>
  </colFields>
  <colItems count="2">
    <i>
      <x/>
    </i>
    <i i="1">
      <x v="1"/>
    </i>
  </colItems>
  <dataFields count="2">
    <dataField name="Average of Ratings" fld="6" subtotal="average" baseField="4" baseItem="0"/>
    <dataField name="Average of Discount" fld="3"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iscount_Category" sourceName="Discount Category">
  <pivotTables>
    <pivotTable tabId="4" name="PivotTable2"/>
    <pivotTable tabId="3" name="PivotTable1"/>
  </pivotTables>
  <data>
    <tabular pivotCacheId="1">
      <items count="4">
        <i x="1" s="1"/>
        <i x="2" s="1"/>
        <i x="0"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ating_Category" sourceName="Rating Category">
  <pivotTables>
    <pivotTable tabId="4" name="PivotTable2"/>
    <pivotTable tabId="3" name="PivotTable1"/>
  </pivotTables>
  <data>
    <tabular pivotCacheId="1">
      <items count="4">
        <i x="1" s="1"/>
        <i x="0" s="1"/>
        <i x="2"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iscount Category" cache="Slicer_Discount_Category" caption="Discount Category" rowHeight="241300"/>
  <slicer name="Rating Category" cache="Slicer_Rating_Category" caption="Rating 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3"/>
  <sheetViews>
    <sheetView workbookViewId="0">
      <selection activeCell="D7" sqref="D7"/>
    </sheetView>
  </sheetViews>
  <sheetFormatPr defaultRowHeight="14.5" x14ac:dyDescent="0.35"/>
  <cols>
    <col min="1" max="1" width="64.453125" customWidth="1"/>
    <col min="2" max="2" width="13.26953125" customWidth="1"/>
  </cols>
  <sheetData>
    <row r="3" spans="1:2" x14ac:dyDescent="0.35">
      <c r="A3" s="10" t="s">
        <v>120</v>
      </c>
      <c r="B3" t="s">
        <v>137</v>
      </c>
    </row>
    <row r="4" spans="1:2" x14ac:dyDescent="0.35">
      <c r="A4" s="11" t="s">
        <v>20</v>
      </c>
      <c r="B4" s="12">
        <v>5</v>
      </c>
    </row>
    <row r="5" spans="1:2" x14ac:dyDescent="0.35">
      <c r="A5" s="11" t="s">
        <v>22</v>
      </c>
      <c r="B5" s="12">
        <v>5</v>
      </c>
    </row>
    <row r="6" spans="1:2" x14ac:dyDescent="0.35">
      <c r="A6" s="11" t="s">
        <v>103</v>
      </c>
      <c r="B6" s="12">
        <v>5</v>
      </c>
    </row>
    <row r="7" spans="1:2" x14ac:dyDescent="0.35">
      <c r="A7" s="11" t="s">
        <v>83</v>
      </c>
      <c r="B7" s="12">
        <v>5</v>
      </c>
    </row>
    <row r="8" spans="1:2" x14ac:dyDescent="0.35">
      <c r="A8" s="11" t="s">
        <v>21</v>
      </c>
      <c r="B8" s="12">
        <v>5</v>
      </c>
    </row>
    <row r="9" spans="1:2" x14ac:dyDescent="0.35">
      <c r="A9" s="11" t="s">
        <v>41</v>
      </c>
      <c r="B9" s="12">
        <v>5</v>
      </c>
    </row>
    <row r="10" spans="1:2" x14ac:dyDescent="0.35">
      <c r="A10" s="11" t="s">
        <v>40</v>
      </c>
      <c r="B10" s="12">
        <v>5</v>
      </c>
    </row>
    <row r="11" spans="1:2" x14ac:dyDescent="0.35">
      <c r="A11" s="11" t="s">
        <v>122</v>
      </c>
      <c r="B11" s="12">
        <v>5</v>
      </c>
    </row>
    <row r="16" spans="1:2" x14ac:dyDescent="0.35">
      <c r="A16" s="10" t="s">
        <v>120</v>
      </c>
      <c r="B16" t="s">
        <v>138</v>
      </c>
    </row>
    <row r="17" spans="1:2" x14ac:dyDescent="0.35">
      <c r="A17" s="11" t="s">
        <v>65</v>
      </c>
      <c r="B17" s="12">
        <v>2.1</v>
      </c>
    </row>
    <row r="18" spans="1:2" x14ac:dyDescent="0.35">
      <c r="A18" s="11" t="s">
        <v>76</v>
      </c>
      <c r="B18" s="12">
        <v>2.2000000000000002</v>
      </c>
    </row>
    <row r="19" spans="1:2" x14ac:dyDescent="0.35">
      <c r="A19" s="11" t="s">
        <v>69</v>
      </c>
      <c r="B19" s="12">
        <v>2.2000000000000002</v>
      </c>
    </row>
    <row r="20" spans="1:2" x14ac:dyDescent="0.35">
      <c r="A20" s="11" t="s">
        <v>77</v>
      </c>
      <c r="B20" s="12">
        <v>2.1</v>
      </c>
    </row>
    <row r="21" spans="1:2" x14ac:dyDescent="0.35">
      <c r="A21" s="11" t="s">
        <v>112</v>
      </c>
      <c r="B21" s="12">
        <v>2</v>
      </c>
    </row>
    <row r="22" spans="1:2" x14ac:dyDescent="0.35">
      <c r="A22" s="11" t="s">
        <v>121</v>
      </c>
      <c r="B22" s="12"/>
    </row>
    <row r="23" spans="1:2" x14ac:dyDescent="0.35">
      <c r="A23" s="11" t="s">
        <v>122</v>
      </c>
      <c r="B23" s="12">
        <v>2</v>
      </c>
    </row>
  </sheetData>
  <pageMargins left="0.7" right="0.7" top="0.75" bottom="0.75" header="0.3" footer="0.3"/>
  <pageSetup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6"/>
  <sheetViews>
    <sheetView workbookViewId="0">
      <selection activeCell="C14" sqref="C14"/>
    </sheetView>
  </sheetViews>
  <sheetFormatPr defaultRowHeight="14.5" x14ac:dyDescent="0.35"/>
  <cols>
    <col min="1" max="1" width="12.36328125" customWidth="1"/>
    <col min="2" max="2" width="16.1796875" bestFit="1" customWidth="1"/>
    <col min="3" max="3" width="16.36328125" bestFit="1" customWidth="1"/>
  </cols>
  <sheetData>
    <row r="3" spans="1:3" x14ac:dyDescent="0.35">
      <c r="A3" s="10" t="s">
        <v>120</v>
      </c>
      <c r="B3" t="s">
        <v>139</v>
      </c>
      <c r="C3" t="s">
        <v>128</v>
      </c>
    </row>
    <row r="4" spans="1:3" x14ac:dyDescent="0.35">
      <c r="A4" s="11" t="s">
        <v>125</v>
      </c>
      <c r="B4" s="12">
        <v>5.387096774193548</v>
      </c>
      <c r="C4" s="12">
        <v>3.7096774193548412</v>
      </c>
    </row>
    <row r="5" spans="1:3" x14ac:dyDescent="0.35">
      <c r="A5" s="11" t="s">
        <v>126</v>
      </c>
      <c r="B5" s="12">
        <v>2.1111111111111112</v>
      </c>
      <c r="C5" s="12">
        <v>3.7833333333333323</v>
      </c>
    </row>
    <row r="6" spans="1:3" x14ac:dyDescent="0.35">
      <c r="A6" s="11" t="s">
        <v>122</v>
      </c>
      <c r="B6" s="12">
        <v>4.6500000000000004</v>
      </c>
      <c r="C6" s="12">
        <v>3.7262500000000038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1"/>
  <sheetViews>
    <sheetView workbookViewId="0">
      <pane ySplit="1" topLeftCell="A102" activePane="bottomLeft" state="frozen"/>
      <selection pane="bottomLeft" activeCell="A114" sqref="A114"/>
    </sheetView>
  </sheetViews>
  <sheetFormatPr defaultRowHeight="14.5" x14ac:dyDescent="0.35"/>
  <cols>
    <col min="1" max="1" width="89.1796875" bestFit="1" customWidth="1"/>
    <col min="2" max="2" width="23.7265625" style="5" bestFit="1" customWidth="1"/>
    <col min="3" max="3" width="65.453125" style="5" bestFit="1" customWidth="1"/>
    <col min="4" max="4" width="15" style="1" bestFit="1" customWidth="1"/>
    <col min="5" max="5" width="31.90625" style="1" bestFit="1" customWidth="1"/>
    <col min="6" max="6" width="12.1796875" style="9" bestFit="1" customWidth="1"/>
    <col min="7" max="7" width="13.90625" style="6" bestFit="1" customWidth="1"/>
    <col min="8" max="8" width="29" bestFit="1" customWidth="1"/>
    <col min="9" max="9" width="39.54296875" style="1" bestFit="1" customWidth="1"/>
    <col min="10" max="10" width="69.54296875" bestFit="1" customWidth="1"/>
    <col min="11" max="11" width="25" bestFit="1" customWidth="1"/>
    <col min="12" max="12" width="61.453125" bestFit="1" customWidth="1"/>
    <col min="13" max="13" width="36.54296875" bestFit="1" customWidth="1"/>
    <col min="14" max="14" width="49.36328125" bestFit="1" customWidth="1"/>
  </cols>
  <sheetData>
    <row r="1" spans="1:14" s="2" customFormat="1" ht="23" x14ac:dyDescent="0.55000000000000004">
      <c r="A1" s="2" t="s">
        <v>0</v>
      </c>
      <c r="B1" s="4" t="s">
        <v>1</v>
      </c>
      <c r="C1" s="4" t="s">
        <v>2</v>
      </c>
      <c r="D1" s="3" t="s">
        <v>3</v>
      </c>
      <c r="E1" s="3" t="s">
        <v>116</v>
      </c>
      <c r="F1" s="8" t="s">
        <v>4</v>
      </c>
      <c r="G1" s="7" t="s">
        <v>114</v>
      </c>
      <c r="H1" s="2" t="s">
        <v>115</v>
      </c>
      <c r="I1" s="3" t="s">
        <v>132</v>
      </c>
      <c r="J1" s="2" t="s">
        <v>133</v>
      </c>
      <c r="K1" s="2" t="s">
        <v>134</v>
      </c>
      <c r="L1" s="2" t="s">
        <v>135</v>
      </c>
      <c r="M1" s="2" t="s">
        <v>136</v>
      </c>
      <c r="N1" s="2" t="s">
        <v>131</v>
      </c>
    </row>
    <row r="2" spans="1:14" x14ac:dyDescent="0.35">
      <c r="A2" t="s">
        <v>5</v>
      </c>
      <c r="B2" s="5">
        <v>950</v>
      </c>
      <c r="C2" s="5">
        <v>1525</v>
      </c>
      <c r="D2" s="1">
        <f>(C2-B2)/C2</f>
        <v>0.37704918032786883</v>
      </c>
      <c r="E2" s="1" t="str">
        <f>IF(D2&lt;20%,"Low discount",IF(D2&lt;40%,"Medium Discount","High Discount"))</f>
        <v>Medium Discount</v>
      </c>
      <c r="F2" s="9">
        <v>2</v>
      </c>
      <c r="G2" s="6">
        <v>4.5</v>
      </c>
      <c r="H2" t="str">
        <f>IF(G2&lt;3,"Poor",IF(G2&lt;4.5,"Average","Excellent"))</f>
        <v>Excellent</v>
      </c>
      <c r="I2" s="1">
        <f>LARGE($D$2:$D$113,ROW()-1)</f>
        <v>0.64014466546112114</v>
      </c>
      <c r="J2" t="str">
        <f>INDEX($A$2:$A$113,MATCH(I2,$D$2:$D$113,0))</f>
        <v>6 In 1 Bottle Can Opener Multifunctional Easy Opener</v>
      </c>
      <c r="K2">
        <f>LARGE($F$2:$F$113,ROW()-1)</f>
        <v>69</v>
      </c>
      <c r="L2" t="str">
        <f>INDEX($A$2:$A$113,MATCH(K2,$F$2:$F$113,0))</f>
        <v>120W Cordless Vacuum Cleaners Handheld Electric Vacuum Cleaner</v>
      </c>
    </row>
    <row r="3" spans="1:14" x14ac:dyDescent="0.35">
      <c r="A3" t="s">
        <v>6</v>
      </c>
      <c r="B3" s="5">
        <v>527</v>
      </c>
      <c r="C3" s="5">
        <v>999</v>
      </c>
      <c r="D3" s="1">
        <f t="shared" ref="D3:D66" si="0">(C3-B3)/C3</f>
        <v>0.47247247247247248</v>
      </c>
      <c r="E3" s="1" t="str">
        <f t="shared" ref="E3:E33" si="1">IF(D3&lt;20%,"Low discount",IF(D3&lt;40%,"Medium Discount","High Discount"))</f>
        <v>High Discount</v>
      </c>
      <c r="F3" s="9">
        <v>14</v>
      </c>
      <c r="G3" s="6">
        <v>4.0999999999999996</v>
      </c>
      <c r="H3" t="str">
        <f>IF(G3&lt;3,"Poor",IF(G3&lt;4.5,"Average","Excellent"))</f>
        <v>Average</v>
      </c>
      <c r="I3" s="1">
        <f>LARGE($D$2:$D$113,ROW()-1)</f>
        <v>0.60515873015873012</v>
      </c>
      <c r="J3" t="str">
        <f t="shared" ref="J3:J11" si="2">INDEX($A$2:$A$113,MATCH(I3,$D$2:$D$113,0))</f>
        <v>Creative Owl Shape Keychain Black</v>
      </c>
      <c r="K3">
        <f t="shared" ref="K3:K11" si="3">LARGE($F$2:$F$113,ROW()-1)</f>
        <v>55</v>
      </c>
      <c r="L3" t="str">
        <f t="shared" ref="L3:L11" si="4">INDEX($A$2:$A$113,MATCH(K3,$F$2:$F$113,0))</f>
        <v>137 Pieces Cake Decorating Tool Set Baking Supplies</v>
      </c>
      <c r="M3" s="6"/>
    </row>
    <row r="4" spans="1:14" x14ac:dyDescent="0.35">
      <c r="A4" t="s">
        <v>7</v>
      </c>
      <c r="B4" s="5">
        <v>2199</v>
      </c>
      <c r="C4" s="5">
        <v>2923</v>
      </c>
      <c r="D4" s="1">
        <f t="shared" si="0"/>
        <v>0.24769072870338693</v>
      </c>
      <c r="E4" s="1" t="str">
        <f t="shared" si="1"/>
        <v>Medium Discount</v>
      </c>
      <c r="F4" s="9">
        <v>24</v>
      </c>
      <c r="G4" s="6">
        <v>4.5999999999999996</v>
      </c>
      <c r="H4" t="str">
        <f t="shared" ref="H4:H33" si="5">IF(G4&lt;3,"Poor",IF(G4&lt;4.5,"Average","Excellent"))</f>
        <v>Excellent</v>
      </c>
      <c r="I4" s="1">
        <f t="shared" ref="I4:I11" si="6">LARGE($D$2:$D$113,ROW()-1)</f>
        <v>0.5546875</v>
      </c>
      <c r="J4" t="str">
        <f t="shared" si="2"/>
        <v>Simple Metal Dog Art Sculpture Decoration For Home Office</v>
      </c>
      <c r="K4">
        <f t="shared" si="3"/>
        <v>49</v>
      </c>
      <c r="L4" t="str">
        <f t="shared" si="4"/>
        <v>Electronic Digital Display Vernier Caliper</v>
      </c>
      <c r="N4" t="str">
        <f t="shared" ref="N4" si="7">IFERROR(INDEX($A$2:$A$113,SMALL(IF($G$2:$G$113=$M$3,ROW($G$2:$G$113)-ROW($G$2)+1),ROW()-ROW($N$2)+1)),"")</f>
        <v/>
      </c>
    </row>
    <row r="5" spans="1:14" x14ac:dyDescent="0.35">
      <c r="A5" t="s">
        <v>8</v>
      </c>
      <c r="B5" s="5">
        <v>1580</v>
      </c>
      <c r="C5" s="5">
        <v>2499</v>
      </c>
      <c r="D5" s="1">
        <f t="shared" si="0"/>
        <v>0.36774709883953582</v>
      </c>
      <c r="E5" s="1" t="str">
        <f t="shared" si="1"/>
        <v>Medium Discount</v>
      </c>
      <c r="F5" s="9">
        <v>7</v>
      </c>
      <c r="G5" s="6">
        <v>4.7</v>
      </c>
      <c r="H5" t="str">
        <f t="shared" si="5"/>
        <v>Excellent</v>
      </c>
      <c r="I5" s="1">
        <f t="shared" si="6"/>
        <v>0.55000000000000004</v>
      </c>
      <c r="J5" t="str">
        <f t="shared" si="2"/>
        <v>5-PCS Stainless Steel Cooking Pot Set With Steamed Slices</v>
      </c>
      <c r="K5">
        <f t="shared" si="3"/>
        <v>44</v>
      </c>
      <c r="L5" t="str">
        <f t="shared" si="4"/>
        <v>3D Waterproof EVA Plastic Shower Curtain 1.8*2Mtrs</v>
      </c>
    </row>
    <row r="6" spans="1:14" x14ac:dyDescent="0.35">
      <c r="A6" t="s">
        <v>9</v>
      </c>
      <c r="B6" s="5">
        <v>1740</v>
      </c>
      <c r="C6" s="5">
        <v>2356</v>
      </c>
      <c r="D6" s="1">
        <f t="shared" si="0"/>
        <v>0.26146010186757218</v>
      </c>
      <c r="E6" s="1" t="str">
        <f t="shared" si="1"/>
        <v>Medium Discount</v>
      </c>
      <c r="F6" s="9">
        <v>5</v>
      </c>
      <c r="G6" s="6">
        <v>4.8</v>
      </c>
      <c r="H6" t="str">
        <f t="shared" si="5"/>
        <v>Excellent</v>
      </c>
      <c r="I6" s="1">
        <f t="shared" si="6"/>
        <v>0.54500000000000004</v>
      </c>
      <c r="J6" t="str">
        <f t="shared" si="2"/>
        <v>LASA FOLDING TABLE SERVING STAND</v>
      </c>
      <c r="K6">
        <f t="shared" si="3"/>
        <v>39</v>
      </c>
      <c r="L6" t="str">
        <f t="shared" si="4"/>
        <v>100 Pcs Crochet Hook Tool Set Knitting Hook Set With Box</v>
      </c>
    </row>
    <row r="7" spans="1:14" x14ac:dyDescent="0.35">
      <c r="A7" t="s">
        <v>10</v>
      </c>
      <c r="B7" s="5">
        <v>2999</v>
      </c>
      <c r="C7" s="5">
        <v>3290</v>
      </c>
      <c r="D7" s="1">
        <f t="shared" si="0"/>
        <v>8.8449848024316116E-2</v>
      </c>
      <c r="E7" s="1" t="str">
        <f t="shared" si="1"/>
        <v>Low discount</v>
      </c>
      <c r="F7" s="9">
        <v>15</v>
      </c>
      <c r="G7" s="6">
        <v>4</v>
      </c>
      <c r="H7" t="str">
        <f t="shared" si="5"/>
        <v>Average</v>
      </c>
      <c r="I7" s="1">
        <f t="shared" si="6"/>
        <v>0.54488888888888887</v>
      </c>
      <c r="J7" t="str">
        <f t="shared" si="2"/>
        <v>LASA 3 Tier Bamboo Shoe Bench Storage Shelf</v>
      </c>
      <c r="K7">
        <f t="shared" si="3"/>
        <v>36</v>
      </c>
      <c r="L7" t="str">
        <f t="shared" si="4"/>
        <v>Punch-free Great Load Bearing Bathroom Storage Rack Wall Shelf-White</v>
      </c>
    </row>
    <row r="8" spans="1:14" x14ac:dyDescent="0.35">
      <c r="A8" t="s">
        <v>11</v>
      </c>
      <c r="B8" s="5">
        <v>2319</v>
      </c>
      <c r="C8" s="5">
        <v>3032</v>
      </c>
      <c r="D8" s="1">
        <f t="shared" si="0"/>
        <v>0.23515831134564644</v>
      </c>
      <c r="E8" s="1" t="str">
        <f t="shared" si="1"/>
        <v>Medium Discount</v>
      </c>
      <c r="F8" s="9">
        <v>55</v>
      </c>
      <c r="G8" s="6">
        <v>4.5999999999999996</v>
      </c>
      <c r="H8" t="str">
        <f t="shared" si="5"/>
        <v>Excellent</v>
      </c>
      <c r="I8" s="1">
        <f t="shared" si="6"/>
        <v>0.53549695740365111</v>
      </c>
      <c r="J8" t="str">
        <f t="shared" si="2"/>
        <v>Mythco 120COB Solar Wall Ligt With Motion Sensor And Remote Control 3 Modes</v>
      </c>
      <c r="K8">
        <f t="shared" si="3"/>
        <v>32</v>
      </c>
      <c r="L8" t="str">
        <f t="shared" si="4"/>
        <v>53 Pieces/Set Yarn Knitting Crochet Hooks With Bag - Pansies</v>
      </c>
    </row>
    <row r="9" spans="1:14" x14ac:dyDescent="0.35">
      <c r="A9" t="s">
        <v>12</v>
      </c>
      <c r="B9" s="5">
        <v>988</v>
      </c>
      <c r="C9" s="5">
        <v>1580</v>
      </c>
      <c r="D9" s="1">
        <f t="shared" si="0"/>
        <v>0.37468354430379747</v>
      </c>
      <c r="E9" s="1" t="str">
        <f t="shared" si="1"/>
        <v>Medium Discount</v>
      </c>
      <c r="F9" s="9">
        <v>2</v>
      </c>
      <c r="G9" s="6">
        <v>4</v>
      </c>
      <c r="H9" t="str">
        <f t="shared" si="5"/>
        <v>Average</v>
      </c>
      <c r="I9" s="1">
        <f t="shared" si="6"/>
        <v>0.52500000000000002</v>
      </c>
      <c r="J9" t="str">
        <f t="shared" si="2"/>
        <v>3PCS Single Head Knitting Crochet Sweater Needle Set</v>
      </c>
      <c r="K9">
        <f t="shared" si="3"/>
        <v>24</v>
      </c>
      <c r="L9" t="str">
        <f t="shared" si="4"/>
        <v>Portable Mini Cordless Car Vacuum Cleaner - Blue</v>
      </c>
    </row>
    <row r="10" spans="1:14" x14ac:dyDescent="0.35">
      <c r="A10" t="s">
        <v>13</v>
      </c>
      <c r="B10" s="5">
        <v>1274</v>
      </c>
      <c r="C10" s="5">
        <v>2800</v>
      </c>
      <c r="D10" s="1">
        <f t="shared" si="0"/>
        <v>0.54500000000000004</v>
      </c>
      <c r="E10" s="1" t="str">
        <f t="shared" si="1"/>
        <v>High Discount</v>
      </c>
      <c r="F10" s="9">
        <v>5</v>
      </c>
      <c r="G10" s="6">
        <v>4.8</v>
      </c>
      <c r="H10" t="str">
        <f t="shared" si="5"/>
        <v>Excellent</v>
      </c>
      <c r="I10" s="1">
        <f>LARGE($D$2:$D$113,ROW()-1)</f>
        <v>0.52500000000000002</v>
      </c>
      <c r="J10" t="str">
        <f t="shared" si="2"/>
        <v>3PCS Single Head Knitting Crochet Sweater Needle Set</v>
      </c>
      <c r="K10">
        <f t="shared" si="3"/>
        <v>20</v>
      </c>
      <c r="L10" t="str">
        <f t="shared" si="4"/>
        <v>52 Pieces Cake Decorating Tool Set Gift Kit Baking Supplies</v>
      </c>
    </row>
    <row r="11" spans="1:14" x14ac:dyDescent="0.35">
      <c r="A11" t="s">
        <v>14</v>
      </c>
      <c r="B11" s="5">
        <v>1600</v>
      </c>
      <c r="C11" s="5">
        <v>2929</v>
      </c>
      <c r="D11" s="1">
        <f t="shared" si="0"/>
        <v>0.45373847729600547</v>
      </c>
      <c r="E11" s="1" t="str">
        <f t="shared" si="1"/>
        <v>High Discount</v>
      </c>
      <c r="F11" s="9">
        <v>5</v>
      </c>
      <c r="G11" s="6">
        <v>3.8</v>
      </c>
      <c r="H11" t="str">
        <f t="shared" si="5"/>
        <v>Average</v>
      </c>
      <c r="I11" s="1">
        <f t="shared" si="6"/>
        <v>0.5220588235294118</v>
      </c>
      <c r="J11" t="str">
        <f t="shared" si="2"/>
        <v>Intelligent  LED Body Sensor Wireless Lighting Night Light USB</v>
      </c>
      <c r="K11">
        <f t="shared" si="3"/>
        <v>20</v>
      </c>
      <c r="L11" t="str">
        <f t="shared" si="4"/>
        <v>52 Pieces Cake Decorating Tool Set Gift Kit Baking Supplies</v>
      </c>
    </row>
    <row r="12" spans="1:14" x14ac:dyDescent="0.35">
      <c r="A12" t="s">
        <v>15</v>
      </c>
      <c r="B12" s="5">
        <v>799</v>
      </c>
      <c r="C12" s="5">
        <v>999</v>
      </c>
      <c r="D12" s="1">
        <f t="shared" si="0"/>
        <v>0.20020020020020021</v>
      </c>
      <c r="E12" s="1" t="str">
        <f t="shared" si="1"/>
        <v>Medium Discount</v>
      </c>
      <c r="F12" s="9">
        <v>12</v>
      </c>
      <c r="G12" s="6">
        <v>4.0999999999999996</v>
      </c>
      <c r="H12" t="str">
        <f t="shared" si="5"/>
        <v>Average</v>
      </c>
    </row>
    <row r="13" spans="1:14" x14ac:dyDescent="0.35">
      <c r="A13" t="s">
        <v>16</v>
      </c>
      <c r="B13" s="5">
        <v>990</v>
      </c>
      <c r="C13" s="5">
        <v>1500</v>
      </c>
      <c r="D13" s="1">
        <f t="shared" si="0"/>
        <v>0.34</v>
      </c>
      <c r="E13" s="1" t="str">
        <f t="shared" si="1"/>
        <v>Medium Discount</v>
      </c>
      <c r="F13" s="9">
        <v>39</v>
      </c>
      <c r="G13" s="6">
        <v>4.7</v>
      </c>
      <c r="H13" t="str">
        <f t="shared" si="5"/>
        <v>Excellent</v>
      </c>
    </row>
    <row r="14" spans="1:14" x14ac:dyDescent="0.35">
      <c r="A14" t="s">
        <v>17</v>
      </c>
      <c r="B14" s="5">
        <v>552</v>
      </c>
      <c r="C14" s="5">
        <v>1035</v>
      </c>
      <c r="D14" s="1">
        <f t="shared" si="0"/>
        <v>0.46666666666666667</v>
      </c>
      <c r="E14" s="1" t="str">
        <f t="shared" si="1"/>
        <v>High Discount</v>
      </c>
      <c r="F14" s="9">
        <v>12</v>
      </c>
      <c r="G14" s="6">
        <v>4.8</v>
      </c>
      <c r="H14" t="str">
        <f t="shared" si="5"/>
        <v>Excellent</v>
      </c>
    </row>
    <row r="15" spans="1:14" x14ac:dyDescent="0.35">
      <c r="A15" t="s">
        <v>18</v>
      </c>
      <c r="B15" s="5">
        <v>501</v>
      </c>
      <c r="C15" s="5">
        <v>860</v>
      </c>
      <c r="D15" s="1">
        <f t="shared" si="0"/>
        <v>0.41744186046511628</v>
      </c>
      <c r="E15" s="1" t="str">
        <f t="shared" si="1"/>
        <v>High Discount</v>
      </c>
      <c r="F15" s="9">
        <v>6</v>
      </c>
      <c r="G15" s="6">
        <v>4.5</v>
      </c>
      <c r="H15" t="str">
        <f t="shared" si="5"/>
        <v>Excellent</v>
      </c>
    </row>
    <row r="16" spans="1:14" x14ac:dyDescent="0.35">
      <c r="A16" t="s">
        <v>19</v>
      </c>
      <c r="B16" s="5">
        <v>1680</v>
      </c>
      <c r="C16" s="5">
        <v>2499</v>
      </c>
      <c r="D16" s="1">
        <f t="shared" si="0"/>
        <v>0.32773109243697479</v>
      </c>
      <c r="E16" s="1" t="str">
        <f t="shared" si="1"/>
        <v>Medium Discount</v>
      </c>
      <c r="F16" s="9">
        <v>9</v>
      </c>
      <c r="G16" s="6">
        <v>4.2</v>
      </c>
      <c r="H16" t="str">
        <f t="shared" si="5"/>
        <v>Average</v>
      </c>
    </row>
    <row r="17" spans="1:8" x14ac:dyDescent="0.35">
      <c r="A17" t="s">
        <v>20</v>
      </c>
      <c r="B17" s="5">
        <v>332</v>
      </c>
      <c r="C17" s="5">
        <v>684</v>
      </c>
      <c r="D17" s="1">
        <f t="shared" si="0"/>
        <v>0.51461988304093564</v>
      </c>
      <c r="E17" s="1" t="str">
        <f t="shared" si="1"/>
        <v>High Discount</v>
      </c>
      <c r="F17" s="9">
        <v>2</v>
      </c>
      <c r="G17" s="6">
        <v>5</v>
      </c>
      <c r="H17" t="str">
        <f t="shared" si="5"/>
        <v>Excellent</v>
      </c>
    </row>
    <row r="18" spans="1:8" x14ac:dyDescent="0.35">
      <c r="A18" t="s">
        <v>21</v>
      </c>
      <c r="B18" s="5">
        <v>195</v>
      </c>
      <c r="C18" s="5">
        <v>360</v>
      </c>
      <c r="D18" s="1">
        <f t="shared" si="0"/>
        <v>0.45833333333333331</v>
      </c>
      <c r="E18" s="1" t="str">
        <f t="shared" si="1"/>
        <v>High Discount</v>
      </c>
      <c r="F18" s="9">
        <v>2</v>
      </c>
      <c r="G18" s="6">
        <v>5</v>
      </c>
      <c r="H18" t="str">
        <f t="shared" si="5"/>
        <v>Excellent</v>
      </c>
    </row>
    <row r="19" spans="1:8" x14ac:dyDescent="0.35">
      <c r="A19" t="s">
        <v>22</v>
      </c>
      <c r="B19" s="5">
        <v>2025</v>
      </c>
      <c r="C19" s="5">
        <v>3971</v>
      </c>
      <c r="D19" s="1">
        <f t="shared" si="0"/>
        <v>0.49005288340468395</v>
      </c>
      <c r="E19" s="1" t="str">
        <f t="shared" si="1"/>
        <v>High Discount</v>
      </c>
      <c r="F19" s="9">
        <v>3</v>
      </c>
      <c r="G19" s="6">
        <v>5</v>
      </c>
      <c r="H19" t="str">
        <f t="shared" si="5"/>
        <v>Excellent</v>
      </c>
    </row>
    <row r="20" spans="1:8" x14ac:dyDescent="0.35">
      <c r="A20" t="s">
        <v>23</v>
      </c>
      <c r="B20" s="5">
        <v>2999</v>
      </c>
      <c r="C20" s="5">
        <v>3699</v>
      </c>
      <c r="D20" s="1">
        <f t="shared" si="0"/>
        <v>0.18924033522573669</v>
      </c>
      <c r="E20" s="1" t="str">
        <f t="shared" si="1"/>
        <v>Low discount</v>
      </c>
      <c r="F20" s="9">
        <v>5</v>
      </c>
      <c r="G20" s="6">
        <v>4.5999999999999996</v>
      </c>
      <c r="H20" t="str">
        <f t="shared" si="5"/>
        <v>Excellent</v>
      </c>
    </row>
    <row r="21" spans="1:8" x14ac:dyDescent="0.35">
      <c r="A21" t="s">
        <v>24</v>
      </c>
      <c r="B21" s="5">
        <v>998</v>
      </c>
      <c r="C21" s="5">
        <v>1966</v>
      </c>
      <c r="D21" s="1">
        <f t="shared" si="0"/>
        <v>0.49237029501525942</v>
      </c>
      <c r="E21" s="1" t="str">
        <f t="shared" si="1"/>
        <v>High Discount</v>
      </c>
      <c r="F21" s="9">
        <v>44</v>
      </c>
      <c r="G21" s="6">
        <v>4.5999999999999996</v>
      </c>
      <c r="H21" t="str">
        <f t="shared" si="5"/>
        <v>Excellent</v>
      </c>
    </row>
    <row r="22" spans="1:8" x14ac:dyDescent="0.35">
      <c r="A22" t="s">
        <v>25</v>
      </c>
      <c r="B22" s="5">
        <v>38</v>
      </c>
      <c r="C22" s="5">
        <v>80</v>
      </c>
      <c r="D22" s="1">
        <f t="shared" si="0"/>
        <v>0.52500000000000002</v>
      </c>
      <c r="E22" s="1" t="str">
        <f t="shared" si="1"/>
        <v>High Discount</v>
      </c>
      <c r="F22" s="9">
        <v>13</v>
      </c>
      <c r="G22" s="6">
        <v>3.3</v>
      </c>
      <c r="H22" t="str">
        <f t="shared" si="5"/>
        <v>Average</v>
      </c>
    </row>
    <row r="23" spans="1:8" x14ac:dyDescent="0.35">
      <c r="A23" t="s">
        <v>26</v>
      </c>
      <c r="B23" s="5">
        <v>1860</v>
      </c>
      <c r="C23" s="5">
        <v>3220</v>
      </c>
      <c r="D23" s="1">
        <f t="shared" si="0"/>
        <v>0.42236024844720499</v>
      </c>
      <c r="E23" s="1" t="str">
        <f t="shared" si="1"/>
        <v>High Discount</v>
      </c>
      <c r="F23" s="9">
        <v>0</v>
      </c>
      <c r="G23" s="6">
        <v>3.8</v>
      </c>
      <c r="H23" t="str">
        <f t="shared" si="5"/>
        <v>Average</v>
      </c>
    </row>
    <row r="24" spans="1:8" x14ac:dyDescent="0.35">
      <c r="A24" t="s">
        <v>27</v>
      </c>
      <c r="B24" s="5">
        <v>880</v>
      </c>
      <c r="C24" s="5">
        <v>1350</v>
      </c>
      <c r="D24" s="1">
        <f t="shared" si="0"/>
        <v>0.34814814814814815</v>
      </c>
      <c r="E24" s="1" t="str">
        <f t="shared" si="1"/>
        <v>Medium Discount</v>
      </c>
      <c r="F24" s="9">
        <v>6</v>
      </c>
      <c r="G24" s="6">
        <v>4</v>
      </c>
      <c r="H24" t="str">
        <f t="shared" si="5"/>
        <v>Average</v>
      </c>
    </row>
    <row r="25" spans="1:8" x14ac:dyDescent="0.35">
      <c r="A25" t="s">
        <v>28</v>
      </c>
      <c r="B25" s="5">
        <v>1650</v>
      </c>
      <c r="C25" s="5">
        <v>2150</v>
      </c>
      <c r="D25" s="1">
        <f t="shared" si="0"/>
        <v>0.23255813953488372</v>
      </c>
      <c r="E25" s="1" t="str">
        <f t="shared" si="1"/>
        <v>Medium Discount</v>
      </c>
      <c r="F25" s="9">
        <v>14</v>
      </c>
      <c r="G25" s="6">
        <v>4.4000000000000004</v>
      </c>
      <c r="H25" t="str">
        <f t="shared" si="5"/>
        <v>Average</v>
      </c>
    </row>
    <row r="26" spans="1:8" x14ac:dyDescent="0.35">
      <c r="A26" t="s">
        <v>29</v>
      </c>
      <c r="B26" s="5">
        <v>2048</v>
      </c>
      <c r="C26" s="5">
        <v>4500</v>
      </c>
      <c r="D26" s="1">
        <f t="shared" si="0"/>
        <v>0.54488888888888887</v>
      </c>
      <c r="E26" s="1" t="str">
        <f t="shared" si="1"/>
        <v>High Discount</v>
      </c>
      <c r="F26" s="9">
        <v>7</v>
      </c>
      <c r="G26" s="6">
        <v>4.3</v>
      </c>
      <c r="H26" t="str">
        <f t="shared" si="5"/>
        <v>Average</v>
      </c>
    </row>
    <row r="27" spans="1:8" x14ac:dyDescent="0.35">
      <c r="A27" t="s">
        <v>30</v>
      </c>
      <c r="B27" s="5">
        <v>420</v>
      </c>
      <c r="C27" s="5">
        <v>647</v>
      </c>
      <c r="D27" s="1">
        <f t="shared" si="0"/>
        <v>0.3508500772797527</v>
      </c>
      <c r="E27" s="1" t="str">
        <f t="shared" si="1"/>
        <v>Medium Discount</v>
      </c>
      <c r="F27" s="9">
        <v>49</v>
      </c>
      <c r="G27" s="6">
        <v>4.5999999999999996</v>
      </c>
      <c r="H27" t="str">
        <f t="shared" si="5"/>
        <v>Excellent</v>
      </c>
    </row>
    <row r="28" spans="1:8" x14ac:dyDescent="0.35">
      <c r="A28" t="s">
        <v>31</v>
      </c>
      <c r="B28" s="5">
        <v>2880</v>
      </c>
      <c r="C28" s="5">
        <v>3520</v>
      </c>
      <c r="D28" s="1">
        <f t="shared" si="0"/>
        <v>0.18181818181818182</v>
      </c>
      <c r="E28" s="1" t="str">
        <f t="shared" si="1"/>
        <v>Low discount</v>
      </c>
      <c r="F28" s="9">
        <v>12</v>
      </c>
      <c r="G28" s="6">
        <v>3.8</v>
      </c>
      <c r="H28" t="str">
        <f t="shared" si="5"/>
        <v>Average</v>
      </c>
    </row>
    <row r="29" spans="1:8" x14ac:dyDescent="0.35">
      <c r="A29" t="s">
        <v>32</v>
      </c>
      <c r="B29" s="5">
        <v>1350</v>
      </c>
      <c r="C29" s="5">
        <v>1990</v>
      </c>
      <c r="D29" s="1">
        <f t="shared" si="0"/>
        <v>0.32160804020100503</v>
      </c>
      <c r="E29" s="1" t="str">
        <f t="shared" si="1"/>
        <v>Medium Discount</v>
      </c>
      <c r="F29" s="9">
        <v>13</v>
      </c>
      <c r="G29" s="6">
        <v>3.8</v>
      </c>
      <c r="H29" t="str">
        <f t="shared" si="5"/>
        <v>Average</v>
      </c>
    </row>
    <row r="30" spans="1:8" x14ac:dyDescent="0.35">
      <c r="A30" t="s">
        <v>33</v>
      </c>
      <c r="B30" s="5">
        <v>1758</v>
      </c>
      <c r="C30" s="5">
        <v>2499</v>
      </c>
      <c r="D30" s="1">
        <f t="shared" si="0"/>
        <v>0.2965186074429772</v>
      </c>
      <c r="E30" s="1" t="str">
        <f t="shared" si="1"/>
        <v>Medium Discount</v>
      </c>
      <c r="F30" s="9">
        <v>20</v>
      </c>
      <c r="G30" s="6">
        <v>4.0999999999999996</v>
      </c>
      <c r="H30" t="str">
        <f t="shared" si="5"/>
        <v>Average</v>
      </c>
    </row>
    <row r="31" spans="1:8" x14ac:dyDescent="0.35">
      <c r="A31" t="s">
        <v>34</v>
      </c>
      <c r="B31" s="5">
        <v>2200</v>
      </c>
      <c r="C31" s="5">
        <v>4080</v>
      </c>
      <c r="D31" s="1">
        <f t="shared" si="0"/>
        <v>0.46078431372549017</v>
      </c>
      <c r="E31" s="1" t="str">
        <f t="shared" si="1"/>
        <v>High Discount</v>
      </c>
      <c r="F31" s="9">
        <v>0</v>
      </c>
      <c r="G31" s="6">
        <v>3.8</v>
      </c>
      <c r="H31" t="str">
        <f t="shared" si="5"/>
        <v>Average</v>
      </c>
    </row>
    <row r="32" spans="1:8" x14ac:dyDescent="0.35">
      <c r="A32" t="s">
        <v>35</v>
      </c>
      <c r="B32" s="5">
        <v>185</v>
      </c>
      <c r="C32" s="5">
        <v>382</v>
      </c>
      <c r="D32" s="1">
        <f t="shared" si="0"/>
        <v>0.51570680628272247</v>
      </c>
      <c r="E32" s="1" t="str">
        <f t="shared" si="1"/>
        <v>High Discount</v>
      </c>
      <c r="F32" s="9">
        <v>9</v>
      </c>
      <c r="G32" s="6">
        <v>4.3</v>
      </c>
      <c r="H32" t="str">
        <f t="shared" si="5"/>
        <v>Average</v>
      </c>
    </row>
    <row r="33" spans="1:8" x14ac:dyDescent="0.35">
      <c r="A33" t="s">
        <v>36</v>
      </c>
      <c r="B33" s="5">
        <v>980</v>
      </c>
      <c r="C33" s="5">
        <v>1490</v>
      </c>
      <c r="D33" s="1">
        <f t="shared" si="0"/>
        <v>0.34228187919463088</v>
      </c>
      <c r="E33" s="1" t="str">
        <f t="shared" si="1"/>
        <v>Medium Discount</v>
      </c>
      <c r="F33" s="9">
        <v>12</v>
      </c>
      <c r="G33" s="6">
        <v>4.7</v>
      </c>
      <c r="H33" t="str">
        <f t="shared" si="5"/>
        <v>Excellent</v>
      </c>
    </row>
    <row r="34" spans="1:8" x14ac:dyDescent="0.35">
      <c r="A34" t="s">
        <v>37</v>
      </c>
      <c r="B34" s="5">
        <v>1820</v>
      </c>
      <c r="C34" s="5">
        <v>3490</v>
      </c>
      <c r="D34" s="1">
        <f t="shared" si="0"/>
        <v>0.47851002865329512</v>
      </c>
      <c r="E34" s="1" t="str">
        <f t="shared" ref="E34:E65" si="8">IF(D34&lt;20%,"Low discount",IF(D34&lt;40%,"Medium Discount","High Discount"))</f>
        <v>High Discount</v>
      </c>
      <c r="F34" s="9">
        <v>9</v>
      </c>
      <c r="G34" s="6">
        <v>4.3</v>
      </c>
      <c r="H34" t="str">
        <f t="shared" ref="H34:H65" si="9">IF(G34&lt;3,"Poor",IF(G34&lt;4.5,"Average","Excellent"))</f>
        <v>Average</v>
      </c>
    </row>
    <row r="35" spans="1:8" x14ac:dyDescent="0.35">
      <c r="A35" t="s">
        <v>38</v>
      </c>
      <c r="B35" s="5">
        <v>1940</v>
      </c>
      <c r="C35" s="5">
        <v>2650</v>
      </c>
      <c r="D35" s="1">
        <f t="shared" si="0"/>
        <v>0.26792452830188679</v>
      </c>
      <c r="E35" s="1" t="str">
        <f t="shared" si="8"/>
        <v>Medium Discount</v>
      </c>
      <c r="F35" s="9">
        <v>20</v>
      </c>
      <c r="G35" s="6">
        <v>4.7</v>
      </c>
      <c r="H35" t="str">
        <f t="shared" si="9"/>
        <v>Excellent</v>
      </c>
    </row>
    <row r="36" spans="1:8" x14ac:dyDescent="0.35">
      <c r="A36" t="s">
        <v>39</v>
      </c>
      <c r="B36" s="5">
        <v>1980</v>
      </c>
      <c r="C36" s="5">
        <v>2699</v>
      </c>
      <c r="D36" s="1">
        <f t="shared" si="0"/>
        <v>0.26639496109670247</v>
      </c>
      <c r="E36" s="1" t="str">
        <f t="shared" si="8"/>
        <v>Medium Discount</v>
      </c>
      <c r="F36" s="9">
        <v>32</v>
      </c>
      <c r="G36" s="6">
        <v>4.5</v>
      </c>
      <c r="H36" t="str">
        <f t="shared" si="9"/>
        <v>Excellent</v>
      </c>
    </row>
    <row r="37" spans="1:8" x14ac:dyDescent="0.35">
      <c r="A37" t="s">
        <v>40</v>
      </c>
      <c r="B37" s="5">
        <v>1620</v>
      </c>
      <c r="C37" s="5">
        <v>2690</v>
      </c>
      <c r="D37" s="1">
        <f t="shared" si="0"/>
        <v>0.39776951672862454</v>
      </c>
      <c r="E37" s="1" t="str">
        <f t="shared" si="8"/>
        <v>Medium Discount</v>
      </c>
      <c r="F37" s="9">
        <v>1</v>
      </c>
      <c r="G37" s="6">
        <v>5</v>
      </c>
      <c r="H37" t="str">
        <f t="shared" si="9"/>
        <v>Excellent</v>
      </c>
    </row>
    <row r="38" spans="1:8" x14ac:dyDescent="0.35">
      <c r="A38" t="s">
        <v>41</v>
      </c>
      <c r="B38" s="5">
        <v>171</v>
      </c>
      <c r="C38" s="5">
        <v>360</v>
      </c>
      <c r="D38" s="1">
        <f t="shared" si="0"/>
        <v>0.52500000000000002</v>
      </c>
      <c r="E38" s="1" t="str">
        <f t="shared" si="8"/>
        <v>High Discount</v>
      </c>
      <c r="F38" s="9">
        <v>2</v>
      </c>
      <c r="G38" s="6">
        <v>5</v>
      </c>
      <c r="H38" t="str">
        <f t="shared" si="9"/>
        <v>Excellent</v>
      </c>
    </row>
    <row r="39" spans="1:8" x14ac:dyDescent="0.35">
      <c r="A39" t="s">
        <v>42</v>
      </c>
      <c r="B39" s="5">
        <v>389</v>
      </c>
      <c r="C39" s="5">
        <v>656</v>
      </c>
      <c r="D39" s="1">
        <f t="shared" si="0"/>
        <v>0.40701219512195119</v>
      </c>
      <c r="E39" s="1" t="str">
        <f t="shared" si="8"/>
        <v>High Discount</v>
      </c>
      <c r="F39" s="9">
        <v>36</v>
      </c>
      <c r="G39" s="6">
        <v>4.3</v>
      </c>
      <c r="H39" t="str">
        <f t="shared" si="9"/>
        <v>Average</v>
      </c>
    </row>
    <row r="40" spans="1:8" x14ac:dyDescent="0.35">
      <c r="A40" t="s">
        <v>43</v>
      </c>
      <c r="B40" s="5">
        <v>1800</v>
      </c>
      <c r="C40" s="5">
        <v>2700</v>
      </c>
      <c r="D40" s="1">
        <f t="shared" si="0"/>
        <v>0.33333333333333331</v>
      </c>
      <c r="E40" s="1" t="str">
        <f t="shared" si="8"/>
        <v>Medium Discount</v>
      </c>
      <c r="F40" s="9">
        <v>2</v>
      </c>
      <c r="G40" s="6">
        <v>4.5</v>
      </c>
      <c r="H40" t="str">
        <f t="shared" si="9"/>
        <v>Excellent</v>
      </c>
    </row>
    <row r="41" spans="1:8" x14ac:dyDescent="0.35">
      <c r="A41" t="s">
        <v>44</v>
      </c>
      <c r="B41" s="5">
        <v>2750</v>
      </c>
      <c r="C41" s="5">
        <v>4471</v>
      </c>
      <c r="D41" s="1">
        <f t="shared" si="0"/>
        <v>0.38492507269067322</v>
      </c>
      <c r="E41" s="1" t="str">
        <f t="shared" si="8"/>
        <v>Medium Discount</v>
      </c>
      <c r="F41" s="9">
        <v>0</v>
      </c>
      <c r="G41" s="6">
        <v>3.8</v>
      </c>
      <c r="H41" t="str">
        <f t="shared" si="9"/>
        <v>Average</v>
      </c>
    </row>
    <row r="42" spans="1:8" x14ac:dyDescent="0.35">
      <c r="A42" t="s">
        <v>45</v>
      </c>
      <c r="B42" s="5">
        <v>475</v>
      </c>
      <c r="C42" s="5">
        <v>931</v>
      </c>
      <c r="D42" s="1">
        <f t="shared" si="0"/>
        <v>0.48979591836734693</v>
      </c>
      <c r="E42" s="1" t="str">
        <f t="shared" si="8"/>
        <v>High Discount</v>
      </c>
      <c r="F42" s="9">
        <v>0</v>
      </c>
      <c r="G42" s="6">
        <v>3.8</v>
      </c>
      <c r="H42" t="str">
        <f t="shared" si="9"/>
        <v>Average</v>
      </c>
    </row>
    <row r="43" spans="1:8" x14ac:dyDescent="0.35">
      <c r="A43" t="s">
        <v>46</v>
      </c>
      <c r="B43" s="5">
        <v>238</v>
      </c>
      <c r="C43" s="5">
        <v>476</v>
      </c>
      <c r="D43" s="1">
        <f t="shared" si="0"/>
        <v>0.5</v>
      </c>
      <c r="E43" s="1" t="str">
        <f t="shared" si="8"/>
        <v>High Discount</v>
      </c>
      <c r="F43" s="9">
        <v>0</v>
      </c>
      <c r="G43" s="6">
        <v>3.8</v>
      </c>
      <c r="H43" t="str">
        <f t="shared" si="9"/>
        <v>Average</v>
      </c>
    </row>
    <row r="44" spans="1:8" x14ac:dyDescent="0.35">
      <c r="A44" t="s">
        <v>47</v>
      </c>
      <c r="B44" s="5">
        <v>610</v>
      </c>
      <c r="C44" s="5">
        <v>1060</v>
      </c>
      <c r="D44" s="1">
        <f t="shared" si="0"/>
        <v>0.42452830188679247</v>
      </c>
      <c r="E44" s="1" t="str">
        <f t="shared" si="8"/>
        <v>High Discount</v>
      </c>
      <c r="F44" s="9">
        <v>0</v>
      </c>
      <c r="G44" s="6">
        <v>3.8</v>
      </c>
      <c r="H44" t="str">
        <f t="shared" si="9"/>
        <v>Average</v>
      </c>
    </row>
    <row r="45" spans="1:8" x14ac:dyDescent="0.35">
      <c r="A45" t="s">
        <v>48</v>
      </c>
      <c r="B45" s="5">
        <v>2132</v>
      </c>
      <c r="C45" s="5">
        <v>2169</v>
      </c>
      <c r="D45" s="1">
        <f t="shared" si="0"/>
        <v>1.705855232826187E-2</v>
      </c>
      <c r="E45" s="1" t="str">
        <f t="shared" si="8"/>
        <v>Low discount</v>
      </c>
      <c r="F45" s="9">
        <v>0</v>
      </c>
      <c r="G45" s="6">
        <v>3.8</v>
      </c>
      <c r="H45" t="str">
        <f t="shared" si="9"/>
        <v>Average</v>
      </c>
    </row>
    <row r="46" spans="1:8" x14ac:dyDescent="0.35">
      <c r="A46" t="s">
        <v>49</v>
      </c>
      <c r="B46" s="5">
        <v>999</v>
      </c>
      <c r="C46" s="5">
        <v>2000</v>
      </c>
      <c r="D46" s="1">
        <f t="shared" si="0"/>
        <v>0.50049999999999994</v>
      </c>
      <c r="E46" s="1" t="str">
        <f t="shared" si="8"/>
        <v>High Discount</v>
      </c>
      <c r="F46" s="9">
        <v>0</v>
      </c>
      <c r="G46" s="6">
        <v>3.8</v>
      </c>
      <c r="H46" t="str">
        <f t="shared" si="9"/>
        <v>Average</v>
      </c>
    </row>
    <row r="47" spans="1:8" x14ac:dyDescent="0.35">
      <c r="A47" t="s">
        <v>50</v>
      </c>
      <c r="B47" s="5">
        <v>1190</v>
      </c>
      <c r="C47" s="5">
        <v>1785</v>
      </c>
      <c r="D47" s="1">
        <f t="shared" si="0"/>
        <v>0.33333333333333331</v>
      </c>
      <c r="E47" s="1" t="str">
        <f t="shared" si="8"/>
        <v>Medium Discount</v>
      </c>
      <c r="F47" s="9">
        <v>0</v>
      </c>
      <c r="G47" s="6">
        <v>3.8</v>
      </c>
      <c r="H47" t="str">
        <f t="shared" si="9"/>
        <v>Average</v>
      </c>
    </row>
    <row r="48" spans="1:8" x14ac:dyDescent="0.35">
      <c r="A48" t="s">
        <v>51</v>
      </c>
      <c r="B48" s="5">
        <v>671</v>
      </c>
      <c r="C48" s="5">
        <v>1316</v>
      </c>
      <c r="D48" s="1">
        <f t="shared" si="0"/>
        <v>0.49012158054711247</v>
      </c>
      <c r="E48" s="1" t="str">
        <f t="shared" si="8"/>
        <v>High Discount</v>
      </c>
      <c r="F48" s="9">
        <v>0</v>
      </c>
      <c r="G48" s="6">
        <v>3.8</v>
      </c>
      <c r="H48" t="str">
        <f t="shared" si="9"/>
        <v>Average</v>
      </c>
    </row>
    <row r="49" spans="1:8" x14ac:dyDescent="0.35">
      <c r="A49" t="s">
        <v>52</v>
      </c>
      <c r="B49" s="5">
        <v>1200</v>
      </c>
      <c r="C49" s="5">
        <v>1950</v>
      </c>
      <c r="D49" s="1">
        <f t="shared" si="0"/>
        <v>0.38461538461538464</v>
      </c>
      <c r="E49" s="1" t="str">
        <f t="shared" si="8"/>
        <v>Medium Discount</v>
      </c>
      <c r="F49" s="9">
        <v>0</v>
      </c>
      <c r="G49" s="6">
        <v>3.8</v>
      </c>
      <c r="H49" t="str">
        <f t="shared" si="9"/>
        <v>Average</v>
      </c>
    </row>
    <row r="50" spans="1:8" x14ac:dyDescent="0.35">
      <c r="A50" t="s">
        <v>53</v>
      </c>
      <c r="B50" s="5">
        <v>199</v>
      </c>
      <c r="C50" s="5">
        <v>504</v>
      </c>
      <c r="D50" s="1">
        <f t="shared" si="0"/>
        <v>0.60515873015873012</v>
      </c>
      <c r="E50" s="1" t="str">
        <f t="shared" si="8"/>
        <v>High Discount</v>
      </c>
      <c r="F50" s="9">
        <v>0</v>
      </c>
      <c r="G50" s="6">
        <v>3.8</v>
      </c>
      <c r="H50" t="str">
        <f t="shared" si="9"/>
        <v>Average</v>
      </c>
    </row>
    <row r="51" spans="1:8" x14ac:dyDescent="0.35">
      <c r="A51" t="s">
        <v>54</v>
      </c>
      <c r="B51" s="5">
        <v>299</v>
      </c>
      <c r="C51" s="5">
        <v>600</v>
      </c>
      <c r="D51" s="1">
        <f t="shared" si="0"/>
        <v>0.50166666666666671</v>
      </c>
      <c r="E51" s="1" t="str">
        <f t="shared" si="8"/>
        <v>High Discount</v>
      </c>
      <c r="F51" s="9">
        <v>0</v>
      </c>
      <c r="G51" s="6">
        <v>3.8</v>
      </c>
      <c r="H51" t="str">
        <f t="shared" si="9"/>
        <v>Average</v>
      </c>
    </row>
    <row r="52" spans="1:8" x14ac:dyDescent="0.35">
      <c r="A52" t="s">
        <v>55</v>
      </c>
      <c r="B52" s="5">
        <v>1660</v>
      </c>
      <c r="C52" s="5">
        <v>1699</v>
      </c>
      <c r="D52" s="1">
        <f t="shared" si="0"/>
        <v>2.2954679223072396E-2</v>
      </c>
      <c r="E52" s="1" t="str">
        <f t="shared" si="8"/>
        <v>Low discount</v>
      </c>
      <c r="F52" s="9">
        <v>0</v>
      </c>
      <c r="G52" s="6">
        <v>3.8</v>
      </c>
      <c r="H52" t="str">
        <f t="shared" si="9"/>
        <v>Average</v>
      </c>
    </row>
    <row r="53" spans="1:8" x14ac:dyDescent="0.35">
      <c r="A53" t="s">
        <v>56</v>
      </c>
      <c r="B53" s="5">
        <v>299</v>
      </c>
      <c r="C53" s="5">
        <v>384</v>
      </c>
      <c r="D53" s="1">
        <f t="shared" si="0"/>
        <v>0.22135416666666666</v>
      </c>
      <c r="E53" s="1" t="str">
        <f t="shared" si="8"/>
        <v>Medium Discount</v>
      </c>
      <c r="F53" s="9">
        <v>0</v>
      </c>
      <c r="G53" s="6">
        <v>3.8</v>
      </c>
      <c r="H53" t="str">
        <f t="shared" si="9"/>
        <v>Average</v>
      </c>
    </row>
    <row r="54" spans="1:8" x14ac:dyDescent="0.35">
      <c r="A54" t="s">
        <v>57</v>
      </c>
      <c r="B54" s="5">
        <v>1459</v>
      </c>
      <c r="C54" s="5">
        <v>1499</v>
      </c>
      <c r="D54" s="1">
        <f t="shared" si="0"/>
        <v>2.6684456304202801E-2</v>
      </c>
      <c r="E54" s="1" t="str">
        <f t="shared" si="8"/>
        <v>Low discount</v>
      </c>
      <c r="F54" s="9">
        <v>0</v>
      </c>
      <c r="G54" s="6">
        <v>3.8</v>
      </c>
      <c r="H54" t="str">
        <f t="shared" si="9"/>
        <v>Average</v>
      </c>
    </row>
    <row r="55" spans="1:8" x14ac:dyDescent="0.35">
      <c r="A55" t="s">
        <v>58</v>
      </c>
      <c r="B55" s="5">
        <v>799</v>
      </c>
      <c r="C55" s="5">
        <v>1343</v>
      </c>
      <c r="D55" s="1">
        <f t="shared" si="0"/>
        <v>0.4050632911392405</v>
      </c>
      <c r="E55" s="1" t="str">
        <f t="shared" si="8"/>
        <v>High Discount</v>
      </c>
      <c r="F55" s="9">
        <v>0</v>
      </c>
      <c r="G55" s="6">
        <v>3.8</v>
      </c>
      <c r="H55" t="str">
        <f t="shared" si="9"/>
        <v>Average</v>
      </c>
    </row>
    <row r="56" spans="1:8" x14ac:dyDescent="0.35">
      <c r="A56" t="s">
        <v>59</v>
      </c>
      <c r="B56" s="5">
        <v>499</v>
      </c>
      <c r="C56" s="5">
        <v>900</v>
      </c>
      <c r="D56" s="1">
        <f t="shared" si="0"/>
        <v>0.44555555555555554</v>
      </c>
      <c r="E56" s="1" t="str">
        <f t="shared" si="8"/>
        <v>High Discount</v>
      </c>
      <c r="F56" s="9">
        <v>0</v>
      </c>
      <c r="G56" s="6">
        <v>3.8</v>
      </c>
      <c r="H56" t="str">
        <f t="shared" si="9"/>
        <v>Average</v>
      </c>
    </row>
    <row r="57" spans="1:8" x14ac:dyDescent="0.35">
      <c r="A57" t="s">
        <v>60</v>
      </c>
      <c r="B57" s="5">
        <v>699</v>
      </c>
      <c r="C57" s="5">
        <v>1343</v>
      </c>
      <c r="D57" s="1">
        <f t="shared" si="0"/>
        <v>0.47952345495160087</v>
      </c>
      <c r="E57" s="1" t="str">
        <f t="shared" si="8"/>
        <v>High Discount</v>
      </c>
      <c r="F57" s="9">
        <v>0</v>
      </c>
      <c r="G57" s="6">
        <v>3.8</v>
      </c>
      <c r="H57" t="str">
        <f t="shared" si="9"/>
        <v>Average</v>
      </c>
    </row>
    <row r="58" spans="1:8" x14ac:dyDescent="0.35">
      <c r="A58" t="s">
        <v>61</v>
      </c>
      <c r="B58" s="5">
        <v>799</v>
      </c>
      <c r="C58" s="5">
        <v>1567</v>
      </c>
      <c r="D58" s="1">
        <f t="shared" si="0"/>
        <v>0.49010848755583919</v>
      </c>
      <c r="E58" s="1" t="str">
        <f t="shared" si="8"/>
        <v>High Discount</v>
      </c>
      <c r="F58" s="9">
        <v>0</v>
      </c>
      <c r="G58" s="6">
        <v>3.8</v>
      </c>
      <c r="H58" t="str">
        <f t="shared" si="9"/>
        <v>Average</v>
      </c>
    </row>
    <row r="59" spans="1:8" x14ac:dyDescent="0.35">
      <c r="A59" t="s">
        <v>62</v>
      </c>
      <c r="B59" s="5">
        <v>2799</v>
      </c>
      <c r="C59" s="5">
        <v>3810</v>
      </c>
      <c r="D59" s="1">
        <f t="shared" si="0"/>
        <v>0.26535433070866143</v>
      </c>
      <c r="E59" s="1" t="str">
        <f t="shared" si="8"/>
        <v>Medium Discount</v>
      </c>
      <c r="F59" s="9">
        <v>0</v>
      </c>
      <c r="G59" s="6">
        <v>3.8</v>
      </c>
      <c r="H59" t="str">
        <f t="shared" si="9"/>
        <v>Average</v>
      </c>
    </row>
    <row r="60" spans="1:8" x14ac:dyDescent="0.35">
      <c r="A60" t="s">
        <v>59</v>
      </c>
      <c r="B60" s="5">
        <v>399</v>
      </c>
      <c r="C60" s="5">
        <v>896</v>
      </c>
      <c r="D60" s="1">
        <f t="shared" si="0"/>
        <v>0.5546875</v>
      </c>
      <c r="E60" s="1" t="str">
        <f t="shared" si="8"/>
        <v>High Discount</v>
      </c>
      <c r="F60" s="9">
        <v>0</v>
      </c>
      <c r="G60" s="6">
        <v>3.8</v>
      </c>
      <c r="H60" t="str">
        <f t="shared" si="9"/>
        <v>Average</v>
      </c>
    </row>
    <row r="61" spans="1:8" x14ac:dyDescent="0.35">
      <c r="A61" t="s">
        <v>63</v>
      </c>
      <c r="B61" s="5">
        <v>2170</v>
      </c>
      <c r="C61" s="5">
        <v>2500</v>
      </c>
      <c r="D61" s="1">
        <f t="shared" si="0"/>
        <v>0.13200000000000001</v>
      </c>
      <c r="E61" s="1" t="str">
        <f t="shared" si="8"/>
        <v>Low discount</v>
      </c>
      <c r="F61" s="9">
        <v>6</v>
      </c>
      <c r="G61" s="6">
        <v>2.5</v>
      </c>
      <c r="H61" t="str">
        <f t="shared" si="9"/>
        <v>Poor</v>
      </c>
    </row>
    <row r="62" spans="1:8" x14ac:dyDescent="0.35">
      <c r="A62" t="s">
        <v>64</v>
      </c>
      <c r="B62" s="5">
        <v>458</v>
      </c>
      <c r="C62" s="5">
        <v>986</v>
      </c>
      <c r="D62" s="1">
        <f t="shared" si="0"/>
        <v>0.53549695740365111</v>
      </c>
      <c r="E62" s="1" t="str">
        <f t="shared" si="8"/>
        <v>High Discount</v>
      </c>
      <c r="F62" s="9">
        <v>10</v>
      </c>
      <c r="G62" s="6">
        <v>3</v>
      </c>
      <c r="H62" t="str">
        <f t="shared" si="9"/>
        <v>Average</v>
      </c>
    </row>
    <row r="63" spans="1:8" x14ac:dyDescent="0.35">
      <c r="A63" t="s">
        <v>65</v>
      </c>
      <c r="B63" s="5">
        <v>2115</v>
      </c>
      <c r="C63" s="5">
        <v>4700</v>
      </c>
      <c r="D63" s="1">
        <f t="shared" si="0"/>
        <v>0.55000000000000004</v>
      </c>
      <c r="E63" s="1" t="str">
        <f t="shared" si="8"/>
        <v>High Discount</v>
      </c>
      <c r="F63" s="9">
        <v>13</v>
      </c>
      <c r="G63" s="6">
        <v>2.1</v>
      </c>
      <c r="H63" t="str">
        <f t="shared" si="9"/>
        <v>Poor</v>
      </c>
    </row>
    <row r="64" spans="1:8" x14ac:dyDescent="0.35">
      <c r="A64" t="s">
        <v>66</v>
      </c>
      <c r="B64" s="5">
        <v>445</v>
      </c>
      <c r="C64" s="5">
        <v>873</v>
      </c>
      <c r="D64" s="1">
        <f t="shared" si="0"/>
        <v>0.49026345933562426</v>
      </c>
      <c r="E64" s="1" t="str">
        <f t="shared" si="8"/>
        <v>High Discount</v>
      </c>
      <c r="F64" s="9">
        <v>69</v>
      </c>
      <c r="G64" s="6">
        <v>2.8</v>
      </c>
      <c r="H64" t="str">
        <f t="shared" si="9"/>
        <v>Poor</v>
      </c>
    </row>
    <row r="65" spans="1:8" x14ac:dyDescent="0.35">
      <c r="A65" t="s">
        <v>67</v>
      </c>
      <c r="B65" s="5">
        <v>325</v>
      </c>
      <c r="C65" s="5">
        <v>680</v>
      </c>
      <c r="D65" s="1">
        <f t="shared" si="0"/>
        <v>0.5220588235294118</v>
      </c>
      <c r="E65" s="1" t="str">
        <f t="shared" si="8"/>
        <v>High Discount</v>
      </c>
      <c r="F65" s="9">
        <v>15</v>
      </c>
      <c r="G65" s="6">
        <v>2.7</v>
      </c>
      <c r="H65" t="str">
        <f t="shared" si="9"/>
        <v>Poor</v>
      </c>
    </row>
    <row r="66" spans="1:8" x14ac:dyDescent="0.35">
      <c r="A66" t="s">
        <v>68</v>
      </c>
      <c r="B66" s="5">
        <v>1220</v>
      </c>
      <c r="C66" s="5">
        <v>1555</v>
      </c>
      <c r="D66" s="1">
        <f t="shared" si="0"/>
        <v>0.21543408360128619</v>
      </c>
      <c r="E66" s="1" t="str">
        <f t="shared" ref="E66:E97" si="10">IF(D66&lt;20%,"Low discount",IF(D66&lt;40%,"Medium Discount","High Discount"))</f>
        <v>Medium Discount</v>
      </c>
      <c r="F66" s="9">
        <v>16</v>
      </c>
      <c r="G66" s="6">
        <v>2.9</v>
      </c>
      <c r="H66" t="str">
        <f t="shared" ref="H66:H97" si="11">IF(G66&lt;3,"Poor",IF(G66&lt;4.5,"Average","Excellent"))</f>
        <v>Poor</v>
      </c>
    </row>
    <row r="67" spans="1:8" x14ac:dyDescent="0.35">
      <c r="A67" t="s">
        <v>69</v>
      </c>
      <c r="B67" s="5">
        <v>990</v>
      </c>
      <c r="C67" s="5">
        <v>1814</v>
      </c>
      <c r="D67" s="1">
        <f t="shared" ref="D67:D113" si="12">(C67-B67)/C67</f>
        <v>0.45424476295479604</v>
      </c>
      <c r="E67" s="1" t="str">
        <f t="shared" si="10"/>
        <v>High Discount</v>
      </c>
      <c r="F67" s="9">
        <v>6</v>
      </c>
      <c r="G67" s="6">
        <v>2.2000000000000002</v>
      </c>
      <c r="H67" t="str">
        <f t="shared" si="11"/>
        <v>Poor</v>
      </c>
    </row>
    <row r="68" spans="1:8" x14ac:dyDescent="0.35">
      <c r="A68" t="s">
        <v>70</v>
      </c>
      <c r="B68" s="5">
        <v>1000</v>
      </c>
      <c r="C68" s="5">
        <v>2000</v>
      </c>
      <c r="D68" s="1">
        <f t="shared" si="12"/>
        <v>0.5</v>
      </c>
      <c r="E68" s="1" t="str">
        <f t="shared" si="10"/>
        <v>High Discount</v>
      </c>
      <c r="F68" s="9">
        <v>7</v>
      </c>
      <c r="G68" s="6">
        <v>2.2999999999999998</v>
      </c>
      <c r="H68" t="str">
        <f t="shared" si="11"/>
        <v>Poor</v>
      </c>
    </row>
    <row r="69" spans="1:8" x14ac:dyDescent="0.35">
      <c r="A69" t="s">
        <v>71</v>
      </c>
      <c r="B69" s="5">
        <v>3750</v>
      </c>
      <c r="C69" s="5">
        <v>6143</v>
      </c>
      <c r="D69" s="1">
        <f t="shared" si="12"/>
        <v>0.38954908025394758</v>
      </c>
      <c r="E69" s="1" t="str">
        <f t="shared" si="10"/>
        <v>Medium Discount</v>
      </c>
      <c r="F69" s="9">
        <v>5</v>
      </c>
      <c r="G69" s="6">
        <v>3</v>
      </c>
      <c r="H69" t="str">
        <f t="shared" si="11"/>
        <v>Average</v>
      </c>
    </row>
    <row r="70" spans="1:8" x14ac:dyDescent="0.35">
      <c r="A70" t="s">
        <v>72</v>
      </c>
      <c r="B70" s="5">
        <v>382</v>
      </c>
      <c r="C70" s="5">
        <v>700</v>
      </c>
      <c r="D70" s="1">
        <f t="shared" si="12"/>
        <v>0.45428571428571429</v>
      </c>
      <c r="E70" s="1" t="str">
        <f t="shared" si="10"/>
        <v>High Discount</v>
      </c>
      <c r="F70" s="9">
        <v>17</v>
      </c>
      <c r="G70" s="6">
        <v>2.6</v>
      </c>
      <c r="H70" t="str">
        <f t="shared" si="11"/>
        <v>Poor</v>
      </c>
    </row>
    <row r="71" spans="1:8" x14ac:dyDescent="0.35">
      <c r="A71" t="s">
        <v>73</v>
      </c>
      <c r="B71" s="5">
        <v>2300</v>
      </c>
      <c r="C71" s="5">
        <v>3240</v>
      </c>
      <c r="D71" s="1">
        <f t="shared" si="12"/>
        <v>0.29012345679012347</v>
      </c>
      <c r="E71" s="1" t="str">
        <f t="shared" si="10"/>
        <v>Medium Discount</v>
      </c>
      <c r="F71" s="9">
        <v>5</v>
      </c>
      <c r="G71" s="6">
        <v>3</v>
      </c>
      <c r="H71" t="str">
        <f t="shared" si="11"/>
        <v>Average</v>
      </c>
    </row>
    <row r="72" spans="1:8" x14ac:dyDescent="0.35">
      <c r="A72" t="s">
        <v>74</v>
      </c>
      <c r="B72" s="5">
        <v>345</v>
      </c>
      <c r="C72" s="5">
        <v>602</v>
      </c>
      <c r="D72" s="1">
        <f t="shared" si="12"/>
        <v>0.42691029900332228</v>
      </c>
      <c r="E72" s="1" t="str">
        <f t="shared" si="10"/>
        <v>High Discount</v>
      </c>
      <c r="F72" s="9">
        <v>6</v>
      </c>
      <c r="G72" s="6">
        <v>2.2999999999999998</v>
      </c>
      <c r="H72" t="str">
        <f t="shared" si="11"/>
        <v>Poor</v>
      </c>
    </row>
    <row r="73" spans="1:8" x14ac:dyDescent="0.35">
      <c r="A73" t="s">
        <v>75</v>
      </c>
      <c r="B73" s="5">
        <v>509</v>
      </c>
      <c r="C73" s="5">
        <v>899</v>
      </c>
      <c r="D73" s="1">
        <f t="shared" si="12"/>
        <v>0.43381535038932145</v>
      </c>
      <c r="E73" s="1" t="str">
        <f t="shared" si="10"/>
        <v>High Discount</v>
      </c>
      <c r="F73" s="9">
        <v>5</v>
      </c>
      <c r="G73" s="6">
        <v>3</v>
      </c>
      <c r="H73" t="str">
        <f t="shared" si="11"/>
        <v>Average</v>
      </c>
    </row>
    <row r="74" spans="1:8" x14ac:dyDescent="0.35">
      <c r="A74" t="s">
        <v>76</v>
      </c>
      <c r="B74" s="5">
        <v>968</v>
      </c>
      <c r="C74" s="5">
        <v>1814</v>
      </c>
      <c r="D74" s="1">
        <f t="shared" si="12"/>
        <v>0.46637265711135611</v>
      </c>
      <c r="E74" s="1" t="str">
        <f t="shared" si="10"/>
        <v>High Discount</v>
      </c>
      <c r="F74" s="9">
        <v>6</v>
      </c>
      <c r="G74" s="6">
        <v>2.2000000000000002</v>
      </c>
      <c r="H74" t="str">
        <f t="shared" si="11"/>
        <v>Poor</v>
      </c>
    </row>
    <row r="75" spans="1:8" x14ac:dyDescent="0.35">
      <c r="A75" t="s">
        <v>77</v>
      </c>
      <c r="B75" s="5">
        <v>1570</v>
      </c>
      <c r="C75" s="5">
        <v>2988</v>
      </c>
      <c r="D75" s="1">
        <f t="shared" si="12"/>
        <v>0.4745649263721553</v>
      </c>
      <c r="E75" s="1" t="str">
        <f t="shared" si="10"/>
        <v>High Discount</v>
      </c>
      <c r="F75" s="9">
        <v>7</v>
      </c>
      <c r="G75" s="6">
        <v>2.1</v>
      </c>
      <c r="H75" t="str">
        <f t="shared" si="11"/>
        <v>Poor</v>
      </c>
    </row>
    <row r="76" spans="1:8" x14ac:dyDescent="0.35">
      <c r="A76" t="s">
        <v>78</v>
      </c>
      <c r="B76" s="5">
        <v>790</v>
      </c>
      <c r="C76" s="5">
        <v>1485</v>
      </c>
      <c r="D76" s="1">
        <f t="shared" si="12"/>
        <v>0.46801346801346799</v>
      </c>
      <c r="E76" s="1" t="str">
        <f t="shared" si="10"/>
        <v>High Discount</v>
      </c>
      <c r="F76" s="9">
        <v>0</v>
      </c>
      <c r="G76" s="6">
        <v>3.8</v>
      </c>
      <c r="H76" t="str">
        <f t="shared" si="11"/>
        <v>Average</v>
      </c>
    </row>
    <row r="77" spans="1:8" x14ac:dyDescent="0.35">
      <c r="A77" t="s">
        <v>79</v>
      </c>
      <c r="B77" s="5">
        <v>690</v>
      </c>
      <c r="C77" s="5">
        <v>1200</v>
      </c>
      <c r="D77" s="1">
        <f t="shared" si="12"/>
        <v>0.42499999999999999</v>
      </c>
      <c r="E77" s="1" t="str">
        <f t="shared" si="10"/>
        <v>High Discount</v>
      </c>
      <c r="F77" s="9">
        <v>0</v>
      </c>
      <c r="G77" s="6">
        <v>3.8</v>
      </c>
      <c r="H77" t="str">
        <f t="shared" si="11"/>
        <v>Average</v>
      </c>
    </row>
    <row r="78" spans="1:8" x14ac:dyDescent="0.35">
      <c r="A78" t="s">
        <v>80</v>
      </c>
      <c r="B78" s="5">
        <v>1732</v>
      </c>
      <c r="C78" s="5">
        <v>1799</v>
      </c>
      <c r="D78" s="1">
        <f t="shared" si="12"/>
        <v>3.7242912729294052E-2</v>
      </c>
      <c r="E78" s="1" t="str">
        <f t="shared" si="10"/>
        <v>Low discount</v>
      </c>
      <c r="F78" s="9">
        <v>0</v>
      </c>
      <c r="G78" s="6">
        <v>3.8</v>
      </c>
      <c r="H78" t="str">
        <f t="shared" si="11"/>
        <v>Average</v>
      </c>
    </row>
    <row r="79" spans="1:8" x14ac:dyDescent="0.35">
      <c r="A79" t="s">
        <v>81</v>
      </c>
      <c r="B79" s="5">
        <v>230</v>
      </c>
      <c r="C79" s="5">
        <v>450</v>
      </c>
      <c r="D79" s="1">
        <f t="shared" si="12"/>
        <v>0.48888888888888887</v>
      </c>
      <c r="E79" s="1" t="str">
        <f t="shared" si="10"/>
        <v>High Discount</v>
      </c>
      <c r="F79" s="9">
        <v>0</v>
      </c>
      <c r="G79" s="6">
        <v>3.8</v>
      </c>
      <c r="H79" t="str">
        <f t="shared" si="11"/>
        <v>Average</v>
      </c>
    </row>
    <row r="80" spans="1:8" x14ac:dyDescent="0.35">
      <c r="A80" t="s">
        <v>82</v>
      </c>
      <c r="B80" s="5">
        <v>1189</v>
      </c>
      <c r="C80" s="5">
        <v>2199</v>
      </c>
      <c r="D80" s="1">
        <f t="shared" si="12"/>
        <v>0.45929968167348795</v>
      </c>
      <c r="E80" s="1" t="str">
        <f t="shared" si="10"/>
        <v>High Discount</v>
      </c>
      <c r="F80" s="9">
        <v>1</v>
      </c>
      <c r="G80" s="6">
        <v>3</v>
      </c>
      <c r="H80" t="str">
        <f t="shared" si="11"/>
        <v>Average</v>
      </c>
    </row>
    <row r="81" spans="1:8" x14ac:dyDescent="0.35">
      <c r="A81" t="s">
        <v>83</v>
      </c>
      <c r="B81" s="5">
        <v>979</v>
      </c>
      <c r="C81" s="5">
        <v>1920</v>
      </c>
      <c r="D81" s="1">
        <f t="shared" si="12"/>
        <v>0.49010416666666667</v>
      </c>
      <c r="E81" s="1" t="str">
        <f t="shared" si="10"/>
        <v>High Discount</v>
      </c>
      <c r="F81" s="9">
        <v>1</v>
      </c>
      <c r="G81" s="6">
        <v>5</v>
      </c>
      <c r="H81" t="str">
        <f t="shared" si="11"/>
        <v>Excellent</v>
      </c>
    </row>
    <row r="82" spans="1:8" x14ac:dyDescent="0.35">
      <c r="A82" t="s">
        <v>84</v>
      </c>
      <c r="B82" s="5">
        <v>1460</v>
      </c>
      <c r="C82" s="5">
        <v>2290</v>
      </c>
      <c r="D82" s="1">
        <f t="shared" si="12"/>
        <v>0.36244541484716158</v>
      </c>
      <c r="E82" s="1" t="str">
        <f t="shared" si="10"/>
        <v>Medium Discount</v>
      </c>
      <c r="F82" s="9">
        <v>0</v>
      </c>
      <c r="G82" s="6">
        <v>3.8</v>
      </c>
      <c r="H82" t="str">
        <f t="shared" si="11"/>
        <v>Average</v>
      </c>
    </row>
    <row r="83" spans="1:8" x14ac:dyDescent="0.35">
      <c r="A83" t="s">
        <v>85</v>
      </c>
      <c r="B83" s="5">
        <v>1666</v>
      </c>
      <c r="C83" s="5">
        <v>1699</v>
      </c>
      <c r="D83" s="1">
        <f t="shared" si="12"/>
        <v>1.9423190111830489E-2</v>
      </c>
      <c r="E83" s="1" t="str">
        <f t="shared" si="10"/>
        <v>Low discount</v>
      </c>
      <c r="F83" s="9">
        <v>0</v>
      </c>
      <c r="G83" s="6">
        <v>3.8</v>
      </c>
      <c r="H83" t="str">
        <f t="shared" si="11"/>
        <v>Average</v>
      </c>
    </row>
    <row r="84" spans="1:8" x14ac:dyDescent="0.35">
      <c r="A84" t="s">
        <v>86</v>
      </c>
      <c r="B84" s="5">
        <v>330</v>
      </c>
      <c r="C84" s="5">
        <v>647</v>
      </c>
      <c r="D84" s="1">
        <f t="shared" si="12"/>
        <v>0.48995363214837712</v>
      </c>
      <c r="E84" s="1" t="str">
        <f t="shared" si="10"/>
        <v>High Discount</v>
      </c>
      <c r="F84" s="9">
        <v>1</v>
      </c>
      <c r="G84" s="6">
        <v>4</v>
      </c>
      <c r="H84" t="str">
        <f t="shared" si="11"/>
        <v>Average</v>
      </c>
    </row>
    <row r="85" spans="1:8" x14ac:dyDescent="0.35">
      <c r="A85" t="s">
        <v>53</v>
      </c>
      <c r="B85" s="5">
        <v>176</v>
      </c>
      <c r="C85" s="5">
        <v>345</v>
      </c>
      <c r="D85" s="1">
        <f t="shared" si="12"/>
        <v>0.48985507246376814</v>
      </c>
      <c r="E85" s="1" t="str">
        <f t="shared" si="10"/>
        <v>High Discount</v>
      </c>
      <c r="F85" s="9">
        <v>0</v>
      </c>
      <c r="G85" s="6">
        <v>3.8</v>
      </c>
      <c r="H85" t="str">
        <f t="shared" si="11"/>
        <v>Average</v>
      </c>
    </row>
    <row r="86" spans="1:8" x14ac:dyDescent="0.35">
      <c r="A86" t="s">
        <v>87</v>
      </c>
      <c r="B86" s="5">
        <v>1466</v>
      </c>
      <c r="C86" s="5">
        <v>1699</v>
      </c>
      <c r="D86" s="1">
        <f t="shared" si="12"/>
        <v>0.13713949381989404</v>
      </c>
      <c r="E86" s="1" t="str">
        <f t="shared" si="10"/>
        <v>Low discount</v>
      </c>
      <c r="F86" s="9">
        <v>0</v>
      </c>
      <c r="G86" s="6">
        <v>3.8</v>
      </c>
      <c r="H86" t="str">
        <f t="shared" si="11"/>
        <v>Average</v>
      </c>
    </row>
    <row r="87" spans="1:8" x14ac:dyDescent="0.35">
      <c r="A87" t="s">
        <v>88</v>
      </c>
      <c r="B87" s="5">
        <v>274</v>
      </c>
      <c r="C87" s="5">
        <v>537</v>
      </c>
      <c r="D87" s="1">
        <f t="shared" si="12"/>
        <v>0.48975791433891991</v>
      </c>
      <c r="E87" s="1" t="str">
        <f t="shared" si="10"/>
        <v>High Discount</v>
      </c>
      <c r="F87" s="9">
        <v>0</v>
      </c>
      <c r="G87" s="6">
        <v>3.8</v>
      </c>
      <c r="H87" t="str">
        <f t="shared" si="11"/>
        <v>Average</v>
      </c>
    </row>
    <row r="88" spans="1:8" x14ac:dyDescent="0.35">
      <c r="A88" t="s">
        <v>89</v>
      </c>
      <c r="B88" s="5">
        <v>799</v>
      </c>
      <c r="C88" s="5">
        <v>900</v>
      </c>
      <c r="D88" s="1">
        <f t="shared" si="12"/>
        <v>0.11222222222222222</v>
      </c>
      <c r="E88" s="1" t="str">
        <f t="shared" si="10"/>
        <v>Low discount</v>
      </c>
      <c r="F88" s="9">
        <v>0</v>
      </c>
      <c r="G88" s="6">
        <v>3.8</v>
      </c>
      <c r="H88" t="str">
        <f t="shared" si="11"/>
        <v>Average</v>
      </c>
    </row>
    <row r="89" spans="1:8" x14ac:dyDescent="0.35">
      <c r="A89" t="s">
        <v>61</v>
      </c>
      <c r="B89" s="5">
        <v>657</v>
      </c>
      <c r="C89" s="5">
        <v>1288</v>
      </c>
      <c r="D89" s="1">
        <f t="shared" si="12"/>
        <v>0.48990683229813664</v>
      </c>
      <c r="E89" s="1" t="str">
        <f t="shared" si="10"/>
        <v>High Discount</v>
      </c>
      <c r="F89" s="9">
        <v>0</v>
      </c>
      <c r="G89" s="6">
        <v>3.8</v>
      </c>
      <c r="H89" t="str">
        <f t="shared" si="11"/>
        <v>Average</v>
      </c>
    </row>
    <row r="90" spans="1:8" x14ac:dyDescent="0.35">
      <c r="A90" t="s">
        <v>90</v>
      </c>
      <c r="B90" s="5">
        <v>1468</v>
      </c>
      <c r="C90" s="5">
        <v>1699</v>
      </c>
      <c r="D90" s="1">
        <f t="shared" si="12"/>
        <v>0.13596233078281342</v>
      </c>
      <c r="E90" s="1" t="str">
        <f t="shared" si="10"/>
        <v>Low discount</v>
      </c>
      <c r="F90" s="9">
        <v>0</v>
      </c>
      <c r="G90" s="6">
        <v>3.8</v>
      </c>
      <c r="H90" t="str">
        <f t="shared" si="11"/>
        <v>Average</v>
      </c>
    </row>
    <row r="91" spans="1:8" x14ac:dyDescent="0.35">
      <c r="A91" t="s">
        <v>91</v>
      </c>
      <c r="B91" s="5">
        <v>630</v>
      </c>
      <c r="C91" s="5">
        <v>1100</v>
      </c>
      <c r="D91" s="1">
        <f t="shared" si="12"/>
        <v>0.42727272727272725</v>
      </c>
      <c r="E91" s="1" t="str">
        <f t="shared" si="10"/>
        <v>High Discount</v>
      </c>
      <c r="F91" s="9">
        <v>0</v>
      </c>
      <c r="G91" s="6">
        <v>3.8</v>
      </c>
      <c r="H91" t="str">
        <f t="shared" si="11"/>
        <v>Average</v>
      </c>
    </row>
    <row r="92" spans="1:8" x14ac:dyDescent="0.35">
      <c r="A92" t="s">
        <v>92</v>
      </c>
      <c r="B92" s="5">
        <v>850</v>
      </c>
      <c r="C92" s="5">
        <v>1700</v>
      </c>
      <c r="D92" s="1">
        <f t="shared" si="12"/>
        <v>0.5</v>
      </c>
      <c r="E92" s="1" t="str">
        <f t="shared" si="10"/>
        <v>High Discount</v>
      </c>
      <c r="F92" s="9">
        <v>0</v>
      </c>
      <c r="G92" s="6">
        <v>3.8</v>
      </c>
      <c r="H92" t="str">
        <f t="shared" si="11"/>
        <v>Average</v>
      </c>
    </row>
    <row r="93" spans="1:8" x14ac:dyDescent="0.35">
      <c r="A93" t="s">
        <v>93</v>
      </c>
      <c r="B93" s="5">
        <v>1300</v>
      </c>
      <c r="C93" s="5">
        <v>2500</v>
      </c>
      <c r="D93" s="1">
        <f t="shared" si="12"/>
        <v>0.48</v>
      </c>
      <c r="E93" s="1" t="str">
        <f t="shared" si="10"/>
        <v>High Discount</v>
      </c>
      <c r="F93" s="9">
        <v>0</v>
      </c>
      <c r="G93" s="6">
        <v>3.8</v>
      </c>
      <c r="H93" t="str">
        <f t="shared" si="11"/>
        <v>Average</v>
      </c>
    </row>
    <row r="94" spans="1:8" x14ac:dyDescent="0.35">
      <c r="A94" t="s">
        <v>94</v>
      </c>
      <c r="B94" s="5">
        <v>105</v>
      </c>
      <c r="C94" s="5">
        <v>200</v>
      </c>
      <c r="D94" s="1">
        <f t="shared" si="12"/>
        <v>0.47499999999999998</v>
      </c>
      <c r="E94" s="1" t="str">
        <f t="shared" si="10"/>
        <v>High Discount</v>
      </c>
      <c r="F94" s="9">
        <v>0</v>
      </c>
      <c r="G94" s="6">
        <v>3.8</v>
      </c>
      <c r="H94" t="str">
        <f t="shared" si="11"/>
        <v>Average</v>
      </c>
    </row>
    <row r="95" spans="1:8" x14ac:dyDescent="0.35">
      <c r="A95" t="s">
        <v>95</v>
      </c>
      <c r="B95" s="5">
        <v>899</v>
      </c>
      <c r="C95" s="5">
        <v>1699</v>
      </c>
      <c r="D95" s="1">
        <f t="shared" si="12"/>
        <v>0.47086521483225424</v>
      </c>
      <c r="E95" s="1" t="str">
        <f t="shared" si="10"/>
        <v>High Discount</v>
      </c>
      <c r="F95" s="9">
        <v>0</v>
      </c>
      <c r="G95" s="6">
        <v>3.8</v>
      </c>
      <c r="H95" t="str">
        <f t="shared" si="11"/>
        <v>Average</v>
      </c>
    </row>
    <row r="96" spans="1:8" x14ac:dyDescent="0.35">
      <c r="A96" t="s">
        <v>96</v>
      </c>
      <c r="B96" s="5">
        <v>1200</v>
      </c>
      <c r="C96" s="5">
        <v>2400</v>
      </c>
      <c r="D96" s="1">
        <f t="shared" si="12"/>
        <v>0.5</v>
      </c>
      <c r="E96" s="1" t="str">
        <f t="shared" si="10"/>
        <v>High Discount</v>
      </c>
      <c r="F96" s="9">
        <v>0</v>
      </c>
      <c r="G96" s="6">
        <v>3.8</v>
      </c>
      <c r="H96" t="str">
        <f t="shared" si="11"/>
        <v>Average</v>
      </c>
    </row>
    <row r="97" spans="1:8" x14ac:dyDescent="0.35">
      <c r="A97" t="s">
        <v>97</v>
      </c>
      <c r="B97" s="5">
        <v>1526</v>
      </c>
      <c r="C97" s="5">
        <v>1660</v>
      </c>
      <c r="D97" s="1">
        <f t="shared" si="12"/>
        <v>8.0722891566265054E-2</v>
      </c>
      <c r="E97" s="1" t="str">
        <f t="shared" si="10"/>
        <v>Low discount</v>
      </c>
      <c r="F97" s="9">
        <v>0</v>
      </c>
      <c r="G97" s="6">
        <v>3.8</v>
      </c>
      <c r="H97" t="str">
        <f t="shared" si="11"/>
        <v>Average</v>
      </c>
    </row>
    <row r="98" spans="1:8" x14ac:dyDescent="0.35">
      <c r="A98" t="s">
        <v>98</v>
      </c>
      <c r="B98" s="5">
        <v>1462</v>
      </c>
      <c r="C98" s="5">
        <v>1499</v>
      </c>
      <c r="D98" s="1">
        <f t="shared" si="12"/>
        <v>2.4683122081387593E-2</v>
      </c>
      <c r="E98" s="1" t="str">
        <f t="shared" ref="E98:E113" si="13">IF(D98&lt;20%,"Low discount",IF(D98&lt;40%,"Medium Discount","High Discount"))</f>
        <v>Low discount</v>
      </c>
      <c r="F98" s="9">
        <v>0</v>
      </c>
      <c r="G98" s="6">
        <v>3.8</v>
      </c>
      <c r="H98" t="str">
        <f t="shared" ref="H98:H113" si="14">IF(G98&lt;3,"Poor",IF(G98&lt;4.5,"Average","Excellent"))</f>
        <v>Average</v>
      </c>
    </row>
    <row r="99" spans="1:8" x14ac:dyDescent="0.35">
      <c r="A99" t="s">
        <v>99</v>
      </c>
      <c r="B99" s="5">
        <v>248</v>
      </c>
      <c r="C99" s="5">
        <v>486</v>
      </c>
      <c r="D99" s="1">
        <f t="shared" si="12"/>
        <v>0.48971193415637859</v>
      </c>
      <c r="E99" s="1" t="str">
        <f t="shared" si="13"/>
        <v>High Discount</v>
      </c>
      <c r="F99" s="9">
        <v>0</v>
      </c>
      <c r="G99" s="6">
        <v>3.8</v>
      </c>
      <c r="H99" t="str">
        <f t="shared" si="14"/>
        <v>Average</v>
      </c>
    </row>
    <row r="100" spans="1:8" x14ac:dyDescent="0.35">
      <c r="A100" t="s">
        <v>100</v>
      </c>
      <c r="B100" s="5">
        <v>3546</v>
      </c>
      <c r="C100" s="5">
        <v>3699</v>
      </c>
      <c r="D100" s="1">
        <f t="shared" si="12"/>
        <v>4.1362530413625302E-2</v>
      </c>
      <c r="E100" s="1" t="str">
        <f t="shared" si="13"/>
        <v>Low discount</v>
      </c>
      <c r="F100" s="9">
        <v>0</v>
      </c>
      <c r="G100" s="6">
        <v>3.8</v>
      </c>
      <c r="H100" t="str">
        <f t="shared" si="14"/>
        <v>Average</v>
      </c>
    </row>
    <row r="101" spans="1:8" x14ac:dyDescent="0.35">
      <c r="A101" t="s">
        <v>101</v>
      </c>
      <c r="B101" s="5">
        <v>525</v>
      </c>
      <c r="C101" s="5">
        <v>1029</v>
      </c>
      <c r="D101" s="1">
        <f t="shared" si="12"/>
        <v>0.48979591836734693</v>
      </c>
      <c r="E101" s="1" t="str">
        <f t="shared" si="13"/>
        <v>High Discount</v>
      </c>
      <c r="F101" s="9">
        <v>0</v>
      </c>
      <c r="G101" s="6">
        <v>3.8</v>
      </c>
      <c r="H101" t="str">
        <f t="shared" si="14"/>
        <v>Average</v>
      </c>
    </row>
    <row r="102" spans="1:8" x14ac:dyDescent="0.35">
      <c r="A102" t="s">
        <v>102</v>
      </c>
      <c r="B102" s="5">
        <v>1080</v>
      </c>
      <c r="C102" s="5">
        <v>1874</v>
      </c>
      <c r="D102" s="1">
        <f t="shared" si="12"/>
        <v>0.42369263607257202</v>
      </c>
      <c r="E102" s="1" t="str">
        <f t="shared" si="13"/>
        <v>High Discount</v>
      </c>
      <c r="F102" s="9">
        <v>0</v>
      </c>
      <c r="G102" s="6">
        <v>3.8</v>
      </c>
      <c r="H102" t="str">
        <f t="shared" si="14"/>
        <v>Average</v>
      </c>
    </row>
    <row r="103" spans="1:8" x14ac:dyDescent="0.35">
      <c r="A103" t="s">
        <v>103</v>
      </c>
      <c r="B103" s="5">
        <v>3640</v>
      </c>
      <c r="C103" s="5">
        <v>4588</v>
      </c>
      <c r="D103" s="1">
        <f t="shared" si="12"/>
        <v>0.20662598081952921</v>
      </c>
      <c r="E103" s="1" t="str">
        <f t="shared" si="13"/>
        <v>Medium Discount</v>
      </c>
      <c r="F103" s="9">
        <v>1</v>
      </c>
      <c r="G103" s="6">
        <v>5</v>
      </c>
      <c r="H103" t="str">
        <f t="shared" si="14"/>
        <v>Excellent</v>
      </c>
    </row>
    <row r="104" spans="1:8" x14ac:dyDescent="0.35">
      <c r="A104" t="s">
        <v>104</v>
      </c>
      <c r="B104" s="5">
        <v>1420</v>
      </c>
      <c r="C104" s="5">
        <v>2420</v>
      </c>
      <c r="D104" s="1">
        <f t="shared" si="12"/>
        <v>0.41322314049586778</v>
      </c>
      <c r="E104" s="1" t="str">
        <f t="shared" si="13"/>
        <v>High Discount</v>
      </c>
      <c r="F104" s="9">
        <v>0</v>
      </c>
      <c r="G104" s="6">
        <v>3.8</v>
      </c>
      <c r="H104" t="str">
        <f t="shared" si="14"/>
        <v>Average</v>
      </c>
    </row>
    <row r="105" spans="1:8" x14ac:dyDescent="0.35">
      <c r="A105" t="s">
        <v>105</v>
      </c>
      <c r="B105" s="5">
        <v>1875</v>
      </c>
      <c r="C105" s="5">
        <v>1899</v>
      </c>
      <c r="D105" s="1">
        <f t="shared" si="12"/>
        <v>1.2638230647709321E-2</v>
      </c>
      <c r="E105" s="1" t="str">
        <f t="shared" si="13"/>
        <v>Low discount</v>
      </c>
      <c r="F105" s="9">
        <v>0</v>
      </c>
      <c r="G105" s="6">
        <v>3.8</v>
      </c>
      <c r="H105" t="str">
        <f t="shared" si="14"/>
        <v>Average</v>
      </c>
    </row>
    <row r="106" spans="1:8" x14ac:dyDescent="0.35">
      <c r="A106" t="s">
        <v>106</v>
      </c>
      <c r="B106" s="5">
        <v>198</v>
      </c>
      <c r="C106" s="5">
        <v>260</v>
      </c>
      <c r="D106" s="1">
        <f t="shared" si="12"/>
        <v>0.23846153846153847</v>
      </c>
      <c r="E106" s="1" t="str">
        <f t="shared" si="13"/>
        <v>Medium Discount</v>
      </c>
      <c r="F106" s="9">
        <v>0</v>
      </c>
      <c r="G106" s="6">
        <v>3.8</v>
      </c>
      <c r="H106" t="str">
        <f t="shared" si="14"/>
        <v>Average</v>
      </c>
    </row>
    <row r="107" spans="1:8" x14ac:dyDescent="0.35">
      <c r="A107" t="s">
        <v>107</v>
      </c>
      <c r="B107" s="5">
        <v>1150</v>
      </c>
      <c r="C107" s="5">
        <v>1737</v>
      </c>
      <c r="D107" s="1">
        <f t="shared" si="12"/>
        <v>0.3379389752446747</v>
      </c>
      <c r="E107" s="1" t="str">
        <f t="shared" si="13"/>
        <v>Medium Discount</v>
      </c>
      <c r="F107" s="9">
        <v>0</v>
      </c>
      <c r="G107" s="6">
        <v>3.8</v>
      </c>
      <c r="H107" t="str">
        <f t="shared" si="14"/>
        <v>Average</v>
      </c>
    </row>
    <row r="108" spans="1:8" x14ac:dyDescent="0.35">
      <c r="A108" t="s">
        <v>108</v>
      </c>
      <c r="B108" s="5">
        <v>1190</v>
      </c>
      <c r="C108" s="5">
        <v>1810</v>
      </c>
      <c r="D108" s="1">
        <f t="shared" si="12"/>
        <v>0.34254143646408841</v>
      </c>
      <c r="E108" s="1" t="str">
        <f t="shared" si="13"/>
        <v>Medium Discount</v>
      </c>
      <c r="F108" s="9">
        <v>0</v>
      </c>
      <c r="G108" s="6">
        <v>3.8</v>
      </c>
      <c r="H108" t="str">
        <f t="shared" si="14"/>
        <v>Average</v>
      </c>
    </row>
    <row r="109" spans="1:8" x14ac:dyDescent="0.35">
      <c r="A109" t="s">
        <v>109</v>
      </c>
      <c r="B109" s="5">
        <v>1658</v>
      </c>
      <c r="C109" s="5">
        <v>1699</v>
      </c>
      <c r="D109" s="1">
        <f t="shared" si="12"/>
        <v>2.4131842260153032E-2</v>
      </c>
      <c r="E109" s="1" t="str">
        <f t="shared" si="13"/>
        <v>Low discount</v>
      </c>
      <c r="F109" s="9">
        <v>0</v>
      </c>
      <c r="G109" s="6">
        <v>3.8</v>
      </c>
      <c r="H109" t="str">
        <f t="shared" si="14"/>
        <v>Average</v>
      </c>
    </row>
    <row r="110" spans="1:8" x14ac:dyDescent="0.35">
      <c r="A110" t="s">
        <v>110</v>
      </c>
      <c r="B110" s="5">
        <v>1768</v>
      </c>
      <c r="C110" s="5">
        <v>1799</v>
      </c>
      <c r="D110" s="1">
        <f t="shared" si="12"/>
        <v>1.7231795441912175E-2</v>
      </c>
      <c r="E110" s="1" t="str">
        <f t="shared" si="13"/>
        <v>Low discount</v>
      </c>
      <c r="F110" s="9">
        <v>0</v>
      </c>
      <c r="G110" s="6">
        <v>3.8</v>
      </c>
      <c r="H110" t="str">
        <f t="shared" si="14"/>
        <v>Average</v>
      </c>
    </row>
    <row r="111" spans="1:8" x14ac:dyDescent="0.35">
      <c r="A111" t="s">
        <v>111</v>
      </c>
      <c r="B111" s="5">
        <v>199</v>
      </c>
      <c r="C111" s="5">
        <v>553</v>
      </c>
      <c r="D111" s="1">
        <f t="shared" si="12"/>
        <v>0.64014466546112114</v>
      </c>
      <c r="E111" s="1" t="str">
        <f t="shared" si="13"/>
        <v>High Discount</v>
      </c>
      <c r="F111" s="9">
        <v>0</v>
      </c>
      <c r="G111" s="6">
        <v>3.8</v>
      </c>
      <c r="H111" t="str">
        <f t="shared" si="14"/>
        <v>Average</v>
      </c>
    </row>
    <row r="112" spans="1:8" x14ac:dyDescent="0.35">
      <c r="A112" t="s">
        <v>112</v>
      </c>
      <c r="B112" s="5">
        <v>450</v>
      </c>
      <c r="C112" s="5">
        <v>900</v>
      </c>
      <c r="D112" s="1">
        <f t="shared" si="12"/>
        <v>0.5</v>
      </c>
      <c r="E112" s="1" t="str">
        <f t="shared" si="13"/>
        <v>High Discount</v>
      </c>
      <c r="F112" s="9">
        <v>1</v>
      </c>
      <c r="G112" s="6">
        <v>2</v>
      </c>
      <c r="H112" t="str">
        <f t="shared" si="14"/>
        <v>Poor</v>
      </c>
    </row>
    <row r="113" spans="1:8" x14ac:dyDescent="0.35">
      <c r="A113" t="s">
        <v>113</v>
      </c>
      <c r="B113" s="5">
        <v>169</v>
      </c>
      <c r="C113" s="5">
        <v>320</v>
      </c>
      <c r="D113" s="1">
        <f t="shared" si="12"/>
        <v>0.47187499999999999</v>
      </c>
      <c r="E113" s="1" t="str">
        <f t="shared" si="13"/>
        <v>High Discount</v>
      </c>
      <c r="F113" s="9">
        <v>0</v>
      </c>
      <c r="G113" s="6">
        <v>3.8</v>
      </c>
      <c r="H113" t="str">
        <f t="shared" si="14"/>
        <v>Average</v>
      </c>
    </row>
    <row r="114" spans="1:8" x14ac:dyDescent="0.35">
      <c r="B114"/>
      <c r="C114"/>
      <c r="D114"/>
      <c r="E114"/>
      <c r="F114" s="9">
        <f>MAX(F1:F113)</f>
        <v>69</v>
      </c>
    </row>
    <row r="115" spans="1:8" x14ac:dyDescent="0.35">
      <c r="B115" t="s">
        <v>117</v>
      </c>
      <c r="C115" t="s">
        <v>117</v>
      </c>
      <c r="D115" t="s">
        <v>117</v>
      </c>
      <c r="E115"/>
    </row>
    <row r="116" spans="1:8" x14ac:dyDescent="0.35">
      <c r="B116" s="5">
        <f>AVERAGE(B2:B113)</f>
        <v>1186.8928571428571</v>
      </c>
      <c r="C116" s="5">
        <f>AVERAGE(C2:C113)</f>
        <v>1811.1071428571429</v>
      </c>
      <c r="D116" s="1">
        <f>AVERAGE(D2:D113)</f>
        <v>0.36714123251752773</v>
      </c>
      <c r="E116"/>
    </row>
    <row r="117" spans="1:8" x14ac:dyDescent="0.35">
      <c r="B117" s="5" t="s">
        <v>118</v>
      </c>
    </row>
    <row r="118" spans="1:8" x14ac:dyDescent="0.35">
      <c r="B118" s="5">
        <f>MAX(B2:B113)</f>
        <v>3750</v>
      </c>
      <c r="C118" s="5" t="str">
        <f>INDEX(A2:A113,MATCH(MAX(B2:B113),B2:B113,0))</f>
        <v>32PCS Portable Cordless Drill Set With Cyclic Battery Drive -26 Variable Speed</v>
      </c>
    </row>
    <row r="120" spans="1:8" x14ac:dyDescent="0.35">
      <c r="B120" s="5" t="s">
        <v>119</v>
      </c>
    </row>
    <row r="121" spans="1:8" x14ac:dyDescent="0.35">
      <c r="B121" s="5">
        <f>MIN(B2:B113)</f>
        <v>38</v>
      </c>
      <c r="C121" s="5" t="str">
        <f>INDEX(A2:A113,MATCH(MIN(B2:B113),B2:B113,0))</f>
        <v>3PCS Single Head Knitting Crochet Sweater Needle Set</v>
      </c>
    </row>
  </sheetData>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K12"/>
  <sheetViews>
    <sheetView tabSelected="1" topLeftCell="A2" zoomScale="50" zoomScaleNormal="50" workbookViewId="0">
      <selection activeCell="AE11" sqref="AE11"/>
    </sheetView>
  </sheetViews>
  <sheetFormatPr defaultRowHeight="14.5" x14ac:dyDescent="0.35"/>
  <cols>
    <col min="1" max="1" width="21.36328125" style="15" bestFit="1" customWidth="1"/>
    <col min="2" max="3" width="11.81640625" style="15" bestFit="1" customWidth="1"/>
    <col min="4" max="16384" width="8.7265625" style="15"/>
  </cols>
  <sheetData>
    <row r="6" spans="1:11" ht="28.5" x14ac:dyDescent="0.65">
      <c r="A6" s="18">
        <f>COUNTA(Excel_jumia!A2:A113)</f>
        <v>112</v>
      </c>
      <c r="B6" s="18"/>
      <c r="C6" s="18">
        <f>AVERAGE(Excel_jumia!G2:G113)</f>
        <v>3.8455357142857194</v>
      </c>
      <c r="D6" s="18"/>
      <c r="E6" s="18"/>
      <c r="F6" s="18"/>
      <c r="G6" s="19">
        <f>AVERAGE(Excel_jumia!D2:D113)</f>
        <v>0.36714123251752773</v>
      </c>
      <c r="H6" s="18"/>
      <c r="I6" s="18"/>
      <c r="J6" s="18"/>
      <c r="K6" s="18">
        <f>COUNTIF(Excel_jumia!F2:F113,"&gt;0")</f>
        <v>57</v>
      </c>
    </row>
    <row r="8" spans="1:11" ht="15.5" x14ac:dyDescent="0.35">
      <c r="A8" s="17"/>
    </row>
    <row r="12" spans="1:11" x14ac:dyDescent="0.35">
      <c r="B12" s="16"/>
    </row>
  </sheetData>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7"/>
  <sheetViews>
    <sheetView topLeftCell="A16" workbookViewId="0">
      <selection activeCell="K22" sqref="K22"/>
    </sheetView>
  </sheetViews>
  <sheetFormatPr defaultRowHeight="14.5" x14ac:dyDescent="0.35"/>
  <cols>
    <col min="1" max="1" width="12.36328125" customWidth="1"/>
    <col min="2" max="2" width="15.26953125" customWidth="1"/>
    <col min="3" max="3" width="13.08984375" customWidth="1"/>
  </cols>
  <sheetData>
    <row r="1" spans="1:2" x14ac:dyDescent="0.35">
      <c r="A1" s="10" t="s">
        <v>120</v>
      </c>
      <c r="B1" t="s">
        <v>128</v>
      </c>
    </row>
    <row r="2" spans="1:2" x14ac:dyDescent="0.35">
      <c r="A2" s="11" t="s">
        <v>20</v>
      </c>
      <c r="B2" s="12">
        <v>5</v>
      </c>
    </row>
    <row r="3" spans="1:2" x14ac:dyDescent="0.35">
      <c r="A3" s="11" t="s">
        <v>83</v>
      </c>
      <c r="B3" s="12">
        <v>5</v>
      </c>
    </row>
    <row r="4" spans="1:2" x14ac:dyDescent="0.35">
      <c r="A4" s="11" t="s">
        <v>41</v>
      </c>
      <c r="B4" s="12">
        <v>5</v>
      </c>
    </row>
    <row r="5" spans="1:2" x14ac:dyDescent="0.35">
      <c r="A5" s="11" t="s">
        <v>40</v>
      </c>
      <c r="B5" s="12">
        <v>5</v>
      </c>
    </row>
    <row r="6" spans="1:2" x14ac:dyDescent="0.35">
      <c r="A6" s="11" t="s">
        <v>103</v>
      </c>
      <c r="B6" s="12">
        <v>5</v>
      </c>
    </row>
    <row r="7" spans="1:2" x14ac:dyDescent="0.35">
      <c r="A7" s="11" t="s">
        <v>22</v>
      </c>
      <c r="B7" s="12">
        <v>5</v>
      </c>
    </row>
    <row r="8" spans="1:2" x14ac:dyDescent="0.35">
      <c r="A8" s="11" t="s">
        <v>21</v>
      </c>
      <c r="B8" s="12">
        <v>5</v>
      </c>
    </row>
    <row r="9" spans="1:2" x14ac:dyDescent="0.35">
      <c r="A9" s="11" t="s">
        <v>122</v>
      </c>
      <c r="B9" s="12">
        <v>5</v>
      </c>
    </row>
    <row r="11" spans="1:2" x14ac:dyDescent="0.35">
      <c r="A11" s="10" t="s">
        <v>120</v>
      </c>
      <c r="B11" t="s">
        <v>140</v>
      </c>
    </row>
    <row r="12" spans="1:2" x14ac:dyDescent="0.35">
      <c r="A12" s="11" t="s">
        <v>66</v>
      </c>
      <c r="B12" s="12">
        <v>69</v>
      </c>
    </row>
    <row r="13" spans="1:2" x14ac:dyDescent="0.35">
      <c r="A13" s="11" t="s">
        <v>11</v>
      </c>
      <c r="B13" s="12">
        <v>55</v>
      </c>
    </row>
    <row r="14" spans="1:2" x14ac:dyDescent="0.35">
      <c r="A14" s="11" t="s">
        <v>30</v>
      </c>
      <c r="B14" s="12">
        <v>49</v>
      </c>
    </row>
    <row r="15" spans="1:2" x14ac:dyDescent="0.35">
      <c r="A15" s="11" t="s">
        <v>24</v>
      </c>
      <c r="B15" s="12">
        <v>44</v>
      </c>
    </row>
    <row r="16" spans="1:2" x14ac:dyDescent="0.35">
      <c r="A16" s="11" t="s">
        <v>16</v>
      </c>
      <c r="B16" s="12">
        <v>39</v>
      </c>
    </row>
    <row r="17" spans="1:2" x14ac:dyDescent="0.35">
      <c r="A17" s="11" t="s">
        <v>122</v>
      </c>
      <c r="B17" s="12">
        <v>256</v>
      </c>
    </row>
    <row r="19" spans="1:2" x14ac:dyDescent="0.35">
      <c r="A19" s="10" t="s">
        <v>120</v>
      </c>
      <c r="B19" t="s">
        <v>141</v>
      </c>
    </row>
    <row r="20" spans="1:2" x14ac:dyDescent="0.35">
      <c r="A20" s="11" t="s">
        <v>111</v>
      </c>
      <c r="B20" s="1">
        <v>0.64014466546112114</v>
      </c>
    </row>
    <row r="21" spans="1:2" x14ac:dyDescent="0.35">
      <c r="A21" s="11" t="s">
        <v>53</v>
      </c>
      <c r="B21" s="1">
        <v>0.60515873015873012</v>
      </c>
    </row>
    <row r="22" spans="1:2" x14ac:dyDescent="0.35">
      <c r="A22" s="11" t="s">
        <v>59</v>
      </c>
      <c r="B22" s="1">
        <v>0.5546875</v>
      </c>
    </row>
    <row r="23" spans="1:2" x14ac:dyDescent="0.35">
      <c r="A23" s="11" t="s">
        <v>65</v>
      </c>
      <c r="B23" s="1">
        <v>0.55000000000000004</v>
      </c>
    </row>
    <row r="24" spans="1:2" x14ac:dyDescent="0.35">
      <c r="A24" s="11" t="s">
        <v>13</v>
      </c>
      <c r="B24" s="1">
        <v>0.54500000000000004</v>
      </c>
    </row>
    <row r="25" spans="1:2" x14ac:dyDescent="0.35">
      <c r="A25" s="11" t="s">
        <v>122</v>
      </c>
      <c r="B25" s="1">
        <v>0.64014466546112114</v>
      </c>
    </row>
    <row r="27" spans="1:2" x14ac:dyDescent="0.35">
      <c r="A27" s="10" t="s">
        <v>120</v>
      </c>
      <c r="B27" t="s">
        <v>141</v>
      </c>
    </row>
    <row r="28" spans="1:2" x14ac:dyDescent="0.35">
      <c r="A28" s="11" t="s">
        <v>143</v>
      </c>
      <c r="B28" s="1">
        <v>0.36714123251752773</v>
      </c>
    </row>
    <row r="29" spans="1:2" x14ac:dyDescent="0.35">
      <c r="A29" s="11" t="s">
        <v>144</v>
      </c>
      <c r="B29" s="1">
        <v>0.64014466546112114</v>
      </c>
    </row>
    <row r="30" spans="1:2" x14ac:dyDescent="0.35">
      <c r="A30" s="11" t="s">
        <v>145</v>
      </c>
      <c r="B30" s="1">
        <v>0.55000000000000004</v>
      </c>
    </row>
    <row r="31" spans="1:2" x14ac:dyDescent="0.35">
      <c r="A31" s="11" t="s">
        <v>146</v>
      </c>
      <c r="B31" s="1">
        <v>0.2965186074429772</v>
      </c>
    </row>
    <row r="32" spans="1:2" x14ac:dyDescent="0.35">
      <c r="A32" s="11" t="s">
        <v>147</v>
      </c>
      <c r="B32" s="1">
        <v>0.40701219512195119</v>
      </c>
    </row>
    <row r="33" spans="1:2" x14ac:dyDescent="0.35">
      <c r="A33" s="11" t="s">
        <v>148</v>
      </c>
      <c r="B33" s="1">
        <v>0.49237029501525942</v>
      </c>
    </row>
    <row r="34" spans="1:2" x14ac:dyDescent="0.35">
      <c r="A34" s="11" t="s">
        <v>149</v>
      </c>
      <c r="B34" s="1">
        <v>0.23515831134564644</v>
      </c>
    </row>
    <row r="35" spans="1:2" x14ac:dyDescent="0.35">
      <c r="A35" s="11" t="s">
        <v>150</v>
      </c>
      <c r="B35" s="1">
        <v>0.49026345933562426</v>
      </c>
    </row>
    <row r="36" spans="1:2" x14ac:dyDescent="0.35">
      <c r="A36" s="11" t="s">
        <v>122</v>
      </c>
      <c r="B36" s="1">
        <v>0.64014466546112114</v>
      </c>
    </row>
    <row r="55" spans="1:2" x14ac:dyDescent="0.35">
      <c r="A55" s="10" t="s">
        <v>120</v>
      </c>
      <c r="B55" t="s">
        <v>130</v>
      </c>
    </row>
    <row r="56" spans="1:2" x14ac:dyDescent="0.35">
      <c r="A56" s="11" t="s">
        <v>117</v>
      </c>
      <c r="B56" s="12">
        <v>77</v>
      </c>
    </row>
    <row r="57" spans="1:2" x14ac:dyDescent="0.35">
      <c r="A57" s="11" t="s">
        <v>124</v>
      </c>
      <c r="B57" s="12">
        <v>23</v>
      </c>
    </row>
    <row r="58" spans="1:2" x14ac:dyDescent="0.35">
      <c r="A58" s="11" t="s">
        <v>123</v>
      </c>
      <c r="B58" s="12">
        <v>12</v>
      </c>
    </row>
    <row r="59" spans="1:2" x14ac:dyDescent="0.35">
      <c r="A59" s="11" t="s">
        <v>121</v>
      </c>
      <c r="B59" s="12"/>
    </row>
    <row r="60" spans="1:2" x14ac:dyDescent="0.35">
      <c r="A60" s="11" t="s">
        <v>122</v>
      </c>
      <c r="B60" s="12">
        <v>112</v>
      </c>
    </row>
    <row r="62" spans="1:2" x14ac:dyDescent="0.35">
      <c r="A62" s="10" t="s">
        <v>120</v>
      </c>
      <c r="B62" t="s">
        <v>130</v>
      </c>
    </row>
    <row r="63" spans="1:2" x14ac:dyDescent="0.35">
      <c r="A63" s="11" t="s">
        <v>125</v>
      </c>
      <c r="B63" s="12">
        <v>62</v>
      </c>
    </row>
    <row r="64" spans="1:2" x14ac:dyDescent="0.35">
      <c r="A64" s="11" t="s">
        <v>126</v>
      </c>
      <c r="B64" s="12">
        <v>18</v>
      </c>
    </row>
    <row r="65" spans="1:2" x14ac:dyDescent="0.35">
      <c r="A65" s="11" t="s">
        <v>127</v>
      </c>
      <c r="B65" s="12">
        <v>32</v>
      </c>
    </row>
    <row r="66" spans="1:2" x14ac:dyDescent="0.35">
      <c r="A66" s="11" t="s">
        <v>121</v>
      </c>
      <c r="B66" s="12"/>
    </row>
    <row r="67" spans="1:2" x14ac:dyDescent="0.35">
      <c r="A67" s="11" t="s">
        <v>122</v>
      </c>
      <c r="B67" s="12">
        <v>112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P1:Q110"/>
  <sheetViews>
    <sheetView topLeftCell="D1" workbookViewId="0">
      <selection activeCell="P6" sqref="P6"/>
    </sheetView>
  </sheetViews>
  <sheetFormatPr defaultRowHeight="14.5" x14ac:dyDescent="0.35"/>
  <cols>
    <col min="16" max="16" width="12.36328125" style="14" customWidth="1"/>
    <col min="17" max="17" width="17.7265625" style="14" bestFit="1" customWidth="1"/>
  </cols>
  <sheetData>
    <row r="1" spans="16:17" x14ac:dyDescent="0.35">
      <c r="P1" s="10" t="s">
        <v>120</v>
      </c>
      <c r="Q1" s="14" t="s">
        <v>129</v>
      </c>
    </row>
    <row r="2" spans="16:17" x14ac:dyDescent="0.35">
      <c r="P2" s="11" t="s">
        <v>143</v>
      </c>
      <c r="Q2" s="14">
        <v>0.36714123251752773</v>
      </c>
    </row>
    <row r="3" spans="16:17" x14ac:dyDescent="0.35">
      <c r="P3" s="11" t="s">
        <v>144</v>
      </c>
      <c r="Q3" s="14">
        <v>0.37065118035667638</v>
      </c>
    </row>
    <row r="4" spans="16:17" x14ac:dyDescent="0.35">
      <c r="P4" s="11" t="s">
        <v>145</v>
      </c>
      <c r="Q4" s="14">
        <v>0.36488078620945863</v>
      </c>
    </row>
    <row r="5" spans="16:17" x14ac:dyDescent="0.35">
      <c r="P5" s="11" t="s">
        <v>146</v>
      </c>
      <c r="Q5" s="14">
        <v>0.27071128814941697</v>
      </c>
    </row>
    <row r="6" spans="16:17" x14ac:dyDescent="0.35">
      <c r="P6" s="11" t="s">
        <v>147</v>
      </c>
      <c r="Q6" s="14">
        <v>0.33780238540621793</v>
      </c>
    </row>
    <row r="7" spans="16:17" x14ac:dyDescent="0.35">
      <c r="P7" s="11" t="s">
        <v>148</v>
      </c>
      <c r="Q7" s="14">
        <v>0.42161018614750606</v>
      </c>
    </row>
    <row r="8" spans="16:17" x14ac:dyDescent="0.35">
      <c r="P8" s="11" t="s">
        <v>149</v>
      </c>
      <c r="Q8" s="14">
        <v>0.23515831134564644</v>
      </c>
    </row>
    <row r="9" spans="16:17" x14ac:dyDescent="0.35">
      <c r="P9" s="11" t="s">
        <v>150</v>
      </c>
      <c r="Q9" s="14">
        <v>0.49026345933562426</v>
      </c>
    </row>
    <row r="10" spans="16:17" x14ac:dyDescent="0.35">
      <c r="P10" s="13" t="s">
        <v>122</v>
      </c>
      <c r="Q10" s="14">
        <v>0.36714123251752789</v>
      </c>
    </row>
    <row r="11" spans="16:17" x14ac:dyDescent="0.35">
      <c r="P11"/>
      <c r="Q11"/>
    </row>
    <row r="12" spans="16:17" x14ac:dyDescent="0.35">
      <c r="P12"/>
      <c r="Q12"/>
    </row>
    <row r="13" spans="16:17" x14ac:dyDescent="0.35">
      <c r="P13"/>
      <c r="Q13"/>
    </row>
    <row r="14" spans="16:17" x14ac:dyDescent="0.35">
      <c r="P14"/>
      <c r="Q14"/>
    </row>
    <row r="15" spans="16:17" x14ac:dyDescent="0.35">
      <c r="P15"/>
      <c r="Q15"/>
    </row>
    <row r="16" spans="16:17" x14ac:dyDescent="0.35">
      <c r="P16"/>
      <c r="Q16"/>
    </row>
    <row r="17" spans="16:17" x14ac:dyDescent="0.35">
      <c r="P17"/>
      <c r="Q17"/>
    </row>
    <row r="18" spans="16:17" x14ac:dyDescent="0.35">
      <c r="P18"/>
      <c r="Q18"/>
    </row>
    <row r="19" spans="16:17" x14ac:dyDescent="0.35">
      <c r="P19"/>
      <c r="Q19"/>
    </row>
    <row r="20" spans="16:17" x14ac:dyDescent="0.35">
      <c r="P20"/>
      <c r="Q20"/>
    </row>
    <row r="21" spans="16:17" x14ac:dyDescent="0.35">
      <c r="P21"/>
      <c r="Q21"/>
    </row>
    <row r="22" spans="16:17" x14ac:dyDescent="0.35">
      <c r="P22"/>
      <c r="Q22"/>
    </row>
    <row r="23" spans="16:17" x14ac:dyDescent="0.35">
      <c r="P23"/>
      <c r="Q23"/>
    </row>
    <row r="24" spans="16:17" x14ac:dyDescent="0.35">
      <c r="P24"/>
      <c r="Q24"/>
    </row>
    <row r="25" spans="16:17" x14ac:dyDescent="0.35">
      <c r="P25"/>
      <c r="Q25"/>
    </row>
    <row r="26" spans="16:17" x14ac:dyDescent="0.35">
      <c r="P26"/>
      <c r="Q26"/>
    </row>
    <row r="27" spans="16:17" x14ac:dyDescent="0.35">
      <c r="P27"/>
      <c r="Q27"/>
    </row>
    <row r="28" spans="16:17" x14ac:dyDescent="0.35">
      <c r="P28"/>
    </row>
    <row r="29" spans="16:17" x14ac:dyDescent="0.35">
      <c r="P29"/>
    </row>
    <row r="30" spans="16:17" x14ac:dyDescent="0.35">
      <c r="P30"/>
    </row>
    <row r="31" spans="16:17" x14ac:dyDescent="0.35">
      <c r="P31"/>
    </row>
    <row r="32" spans="16:17" x14ac:dyDescent="0.35">
      <c r="P32"/>
    </row>
    <row r="33" spans="16:16" x14ac:dyDescent="0.35">
      <c r="P33"/>
    </row>
    <row r="34" spans="16:16" x14ac:dyDescent="0.35">
      <c r="P34"/>
    </row>
    <row r="35" spans="16:16" x14ac:dyDescent="0.35">
      <c r="P35"/>
    </row>
    <row r="36" spans="16:16" x14ac:dyDescent="0.35">
      <c r="P36"/>
    </row>
    <row r="37" spans="16:16" x14ac:dyDescent="0.35">
      <c r="P37"/>
    </row>
    <row r="38" spans="16:16" x14ac:dyDescent="0.35">
      <c r="P38"/>
    </row>
    <row r="39" spans="16:16" x14ac:dyDescent="0.35">
      <c r="P39"/>
    </row>
    <row r="40" spans="16:16" x14ac:dyDescent="0.35">
      <c r="P40"/>
    </row>
    <row r="41" spans="16:16" x14ac:dyDescent="0.35">
      <c r="P41"/>
    </row>
    <row r="42" spans="16:16" x14ac:dyDescent="0.35">
      <c r="P42"/>
    </row>
    <row r="43" spans="16:16" x14ac:dyDescent="0.35">
      <c r="P43"/>
    </row>
    <row r="44" spans="16:16" x14ac:dyDescent="0.35">
      <c r="P44"/>
    </row>
    <row r="45" spans="16:16" x14ac:dyDescent="0.35">
      <c r="P45"/>
    </row>
    <row r="46" spans="16:16" x14ac:dyDescent="0.35">
      <c r="P46"/>
    </row>
    <row r="47" spans="16:16" x14ac:dyDescent="0.35">
      <c r="P47"/>
    </row>
    <row r="48" spans="16:16" x14ac:dyDescent="0.35">
      <c r="P48"/>
    </row>
    <row r="49" spans="16:16" x14ac:dyDescent="0.35">
      <c r="P49"/>
    </row>
    <row r="50" spans="16:16" x14ac:dyDescent="0.35">
      <c r="P50"/>
    </row>
    <row r="51" spans="16:16" x14ac:dyDescent="0.35">
      <c r="P51"/>
    </row>
    <row r="52" spans="16:16" x14ac:dyDescent="0.35">
      <c r="P52"/>
    </row>
    <row r="53" spans="16:16" x14ac:dyDescent="0.35">
      <c r="P53"/>
    </row>
    <row r="54" spans="16:16" x14ac:dyDescent="0.35">
      <c r="P54"/>
    </row>
    <row r="55" spans="16:16" x14ac:dyDescent="0.35">
      <c r="P55"/>
    </row>
    <row r="56" spans="16:16" x14ac:dyDescent="0.35">
      <c r="P56"/>
    </row>
    <row r="57" spans="16:16" x14ac:dyDescent="0.35">
      <c r="P57"/>
    </row>
    <row r="58" spans="16:16" x14ac:dyDescent="0.35">
      <c r="P58"/>
    </row>
    <row r="59" spans="16:16" x14ac:dyDescent="0.35">
      <c r="P59"/>
    </row>
    <row r="60" spans="16:16" x14ac:dyDescent="0.35">
      <c r="P60"/>
    </row>
    <row r="61" spans="16:16" x14ac:dyDescent="0.35">
      <c r="P61"/>
    </row>
    <row r="62" spans="16:16" x14ac:dyDescent="0.35">
      <c r="P62"/>
    </row>
    <row r="63" spans="16:16" x14ac:dyDescent="0.35">
      <c r="P63"/>
    </row>
    <row r="64" spans="16:16" x14ac:dyDescent="0.35">
      <c r="P64"/>
    </row>
    <row r="65" spans="16:16" x14ac:dyDescent="0.35">
      <c r="P65"/>
    </row>
    <row r="66" spans="16:16" x14ac:dyDescent="0.35">
      <c r="P66"/>
    </row>
    <row r="67" spans="16:16" x14ac:dyDescent="0.35">
      <c r="P67"/>
    </row>
    <row r="68" spans="16:16" x14ac:dyDescent="0.35">
      <c r="P68"/>
    </row>
    <row r="69" spans="16:16" x14ac:dyDescent="0.35">
      <c r="P69"/>
    </row>
    <row r="70" spans="16:16" x14ac:dyDescent="0.35">
      <c r="P70"/>
    </row>
    <row r="71" spans="16:16" x14ac:dyDescent="0.35">
      <c r="P71"/>
    </row>
    <row r="72" spans="16:16" x14ac:dyDescent="0.35">
      <c r="P72"/>
    </row>
    <row r="73" spans="16:16" x14ac:dyDescent="0.35">
      <c r="P73"/>
    </row>
    <row r="74" spans="16:16" x14ac:dyDescent="0.35">
      <c r="P74"/>
    </row>
    <row r="75" spans="16:16" x14ac:dyDescent="0.35">
      <c r="P75"/>
    </row>
    <row r="76" spans="16:16" x14ac:dyDescent="0.35">
      <c r="P76"/>
    </row>
    <row r="77" spans="16:16" x14ac:dyDescent="0.35">
      <c r="P77"/>
    </row>
    <row r="78" spans="16:16" x14ac:dyDescent="0.35">
      <c r="P78"/>
    </row>
    <row r="79" spans="16:16" x14ac:dyDescent="0.35">
      <c r="P79"/>
    </row>
    <row r="80" spans="16:16" x14ac:dyDescent="0.35">
      <c r="P80"/>
    </row>
    <row r="81" spans="16:16" x14ac:dyDescent="0.35">
      <c r="P81"/>
    </row>
    <row r="82" spans="16:16" x14ac:dyDescent="0.35">
      <c r="P82"/>
    </row>
    <row r="83" spans="16:16" x14ac:dyDescent="0.35">
      <c r="P83"/>
    </row>
    <row r="84" spans="16:16" x14ac:dyDescent="0.35">
      <c r="P84"/>
    </row>
    <row r="85" spans="16:16" x14ac:dyDescent="0.35">
      <c r="P85"/>
    </row>
    <row r="86" spans="16:16" x14ac:dyDescent="0.35">
      <c r="P86"/>
    </row>
    <row r="87" spans="16:16" x14ac:dyDescent="0.35">
      <c r="P87"/>
    </row>
    <row r="88" spans="16:16" x14ac:dyDescent="0.35">
      <c r="P88"/>
    </row>
    <row r="89" spans="16:16" x14ac:dyDescent="0.35">
      <c r="P89"/>
    </row>
    <row r="90" spans="16:16" x14ac:dyDescent="0.35">
      <c r="P90"/>
    </row>
    <row r="91" spans="16:16" x14ac:dyDescent="0.35">
      <c r="P91"/>
    </row>
    <row r="92" spans="16:16" x14ac:dyDescent="0.35">
      <c r="P92"/>
    </row>
    <row r="93" spans="16:16" x14ac:dyDescent="0.35">
      <c r="P93"/>
    </row>
    <row r="94" spans="16:16" x14ac:dyDescent="0.35">
      <c r="P94"/>
    </row>
    <row r="95" spans="16:16" x14ac:dyDescent="0.35">
      <c r="P95"/>
    </row>
    <row r="96" spans="16:16" x14ac:dyDescent="0.35">
      <c r="P96"/>
    </row>
    <row r="97" spans="16:16" x14ac:dyDescent="0.35">
      <c r="P97"/>
    </row>
    <row r="98" spans="16:16" x14ac:dyDescent="0.35">
      <c r="P98"/>
    </row>
    <row r="99" spans="16:16" x14ac:dyDescent="0.35">
      <c r="P99"/>
    </row>
    <row r="100" spans="16:16" x14ac:dyDescent="0.35">
      <c r="P100"/>
    </row>
    <row r="101" spans="16:16" x14ac:dyDescent="0.35">
      <c r="P101"/>
    </row>
    <row r="102" spans="16:16" x14ac:dyDescent="0.35">
      <c r="P102"/>
    </row>
    <row r="103" spans="16:16" x14ac:dyDescent="0.35">
      <c r="P103"/>
    </row>
    <row r="104" spans="16:16" x14ac:dyDescent="0.35">
      <c r="P104"/>
    </row>
    <row r="105" spans="16:16" x14ac:dyDescent="0.35">
      <c r="P105"/>
    </row>
    <row r="106" spans="16:16" x14ac:dyDescent="0.35">
      <c r="P106"/>
    </row>
    <row r="107" spans="16:16" x14ac:dyDescent="0.35">
      <c r="P107"/>
    </row>
    <row r="108" spans="16:16" x14ac:dyDescent="0.35">
      <c r="P108"/>
    </row>
    <row r="109" spans="16:16" x14ac:dyDescent="0.35">
      <c r="P109"/>
    </row>
    <row r="110" spans="16:16" x14ac:dyDescent="0.35">
      <c r="P110"/>
    </row>
  </sheetData>
  <pageMargins left="0.7" right="0.7" top="0.75" bottom="0.75" header="0.3" footer="0.3"/>
  <pageSetup orientation="portrait" horizontalDpi="1200" verticalDpi="1200"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O1:P25"/>
  <sheetViews>
    <sheetView topLeftCell="N1" workbookViewId="0">
      <selection activeCell="P7" sqref="P7"/>
    </sheetView>
  </sheetViews>
  <sheetFormatPr defaultRowHeight="14.5" x14ac:dyDescent="0.35"/>
  <cols>
    <col min="15" max="15" width="12.36328125" bestFit="1" customWidth="1"/>
    <col min="16" max="16" width="14.54296875" bestFit="1" customWidth="1"/>
    <col min="17" max="24" width="3.81640625" customWidth="1"/>
    <col min="25" max="25" width="1.81640625" customWidth="1"/>
    <col min="26" max="27" width="3.81640625" customWidth="1"/>
    <col min="28" max="28" width="1.81640625" customWidth="1"/>
    <col min="29" max="36" width="3.81640625" customWidth="1"/>
    <col min="37" max="37" width="1.81640625" customWidth="1"/>
    <col min="38" max="38" width="6.7265625" customWidth="1"/>
    <col min="39" max="39" width="10.7265625" bestFit="1" customWidth="1"/>
  </cols>
  <sheetData>
    <row r="1" spans="15:16" x14ac:dyDescent="0.35">
      <c r="O1" s="10" t="s">
        <v>120</v>
      </c>
      <c r="P1" t="s">
        <v>142</v>
      </c>
    </row>
    <row r="2" spans="15:16" x14ac:dyDescent="0.35">
      <c r="O2" s="11">
        <v>2</v>
      </c>
      <c r="P2" s="12">
        <v>1</v>
      </c>
    </row>
    <row r="3" spans="15:16" x14ac:dyDescent="0.35">
      <c r="O3" s="11">
        <v>2.1</v>
      </c>
      <c r="P3" s="12">
        <v>2</v>
      </c>
    </row>
    <row r="4" spans="15:16" x14ac:dyDescent="0.35">
      <c r="O4" s="11">
        <v>2.2000000000000002</v>
      </c>
      <c r="P4" s="12">
        <v>2</v>
      </c>
    </row>
    <row r="5" spans="15:16" x14ac:dyDescent="0.35">
      <c r="O5" s="11">
        <v>2.2999999999999998</v>
      </c>
      <c r="P5" s="12">
        <v>2</v>
      </c>
    </row>
    <row r="6" spans="15:16" x14ac:dyDescent="0.35">
      <c r="O6" s="11">
        <v>2.5</v>
      </c>
      <c r="P6" s="12">
        <v>1</v>
      </c>
    </row>
    <row r="7" spans="15:16" x14ac:dyDescent="0.35">
      <c r="O7" s="11">
        <v>2.6</v>
      </c>
      <c r="P7" s="12">
        <v>1</v>
      </c>
    </row>
    <row r="8" spans="15:16" x14ac:dyDescent="0.35">
      <c r="O8" s="11">
        <v>2.7</v>
      </c>
      <c r="P8" s="12">
        <v>1</v>
      </c>
    </row>
    <row r="9" spans="15:16" x14ac:dyDescent="0.35">
      <c r="O9" s="11">
        <v>2.8</v>
      </c>
      <c r="P9" s="12">
        <v>1</v>
      </c>
    </row>
    <row r="10" spans="15:16" x14ac:dyDescent="0.35">
      <c r="O10" s="11">
        <v>2.9</v>
      </c>
      <c r="P10" s="12">
        <v>1</v>
      </c>
    </row>
    <row r="11" spans="15:16" x14ac:dyDescent="0.35">
      <c r="O11" s="11">
        <v>3</v>
      </c>
      <c r="P11" s="12">
        <v>5</v>
      </c>
    </row>
    <row r="12" spans="15:16" x14ac:dyDescent="0.35">
      <c r="O12" s="11">
        <v>3.3</v>
      </c>
      <c r="P12" s="12">
        <v>1</v>
      </c>
    </row>
    <row r="13" spans="15:16" x14ac:dyDescent="0.35">
      <c r="O13" s="11">
        <v>3.8</v>
      </c>
      <c r="P13" s="12">
        <v>58</v>
      </c>
    </row>
    <row r="14" spans="15:16" x14ac:dyDescent="0.35">
      <c r="O14" s="11">
        <v>4</v>
      </c>
      <c r="P14" s="12">
        <v>4</v>
      </c>
    </row>
    <row r="15" spans="15:16" x14ac:dyDescent="0.35">
      <c r="O15" s="11">
        <v>4.0999999999999996</v>
      </c>
      <c r="P15" s="12">
        <v>3</v>
      </c>
    </row>
    <row r="16" spans="15:16" x14ac:dyDescent="0.35">
      <c r="O16" s="11">
        <v>4.2</v>
      </c>
      <c r="P16" s="12">
        <v>1</v>
      </c>
    </row>
    <row r="17" spans="15:16" x14ac:dyDescent="0.35">
      <c r="O17" s="11">
        <v>4.3</v>
      </c>
      <c r="P17" s="12">
        <v>4</v>
      </c>
    </row>
    <row r="18" spans="15:16" x14ac:dyDescent="0.35">
      <c r="O18" s="11">
        <v>4.4000000000000004</v>
      </c>
      <c r="P18" s="12">
        <v>1</v>
      </c>
    </row>
    <row r="19" spans="15:16" x14ac:dyDescent="0.35">
      <c r="O19" s="11">
        <v>4.5</v>
      </c>
      <c r="P19" s="12">
        <v>4</v>
      </c>
    </row>
    <row r="20" spans="15:16" x14ac:dyDescent="0.35">
      <c r="O20" s="11">
        <v>4.5999999999999996</v>
      </c>
      <c r="P20" s="12">
        <v>5</v>
      </c>
    </row>
    <row r="21" spans="15:16" x14ac:dyDescent="0.35">
      <c r="O21" s="11">
        <v>4.7</v>
      </c>
      <c r="P21" s="12">
        <v>4</v>
      </c>
    </row>
    <row r="22" spans="15:16" x14ac:dyDescent="0.35">
      <c r="O22" s="11">
        <v>4.8</v>
      </c>
      <c r="P22" s="12">
        <v>3</v>
      </c>
    </row>
    <row r="23" spans="15:16" x14ac:dyDescent="0.35">
      <c r="O23" s="11">
        <v>5</v>
      </c>
      <c r="P23" s="12">
        <v>7</v>
      </c>
    </row>
    <row r="24" spans="15:16" x14ac:dyDescent="0.35">
      <c r="O24" s="11" t="s">
        <v>121</v>
      </c>
      <c r="P24" s="12"/>
    </row>
    <row r="25" spans="15:16" x14ac:dyDescent="0.35">
      <c r="O25" s="11" t="s">
        <v>122</v>
      </c>
      <c r="P25" s="12">
        <v>112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M7" sqref="M7"/>
    </sheetView>
  </sheetViews>
  <sheetFormatPr defaultRowHeight="14.5" x14ac:dyDescent="0.35"/>
  <cols>
    <col min="1" max="1" width="12.36328125" bestFit="1" customWidth="1"/>
    <col min="2" max="2" width="15.26953125" bestFit="1" customWidth="1"/>
  </cols>
  <sheetData>
    <row r="3" spans="1:2" x14ac:dyDescent="0.35">
      <c r="A3" s="10" t="s">
        <v>120</v>
      </c>
      <c r="B3" t="s">
        <v>130</v>
      </c>
    </row>
    <row r="4" spans="1:2" x14ac:dyDescent="0.35">
      <c r="A4" s="11" t="s">
        <v>117</v>
      </c>
      <c r="B4" s="12">
        <v>77</v>
      </c>
    </row>
    <row r="5" spans="1:2" x14ac:dyDescent="0.35">
      <c r="A5" s="11" t="s">
        <v>124</v>
      </c>
      <c r="B5" s="12">
        <v>23</v>
      </c>
    </row>
    <row r="6" spans="1:2" x14ac:dyDescent="0.35">
      <c r="A6" s="11" t="s">
        <v>123</v>
      </c>
      <c r="B6" s="12">
        <v>12</v>
      </c>
    </row>
    <row r="7" spans="1:2" x14ac:dyDescent="0.35">
      <c r="A7" s="11" t="s">
        <v>122</v>
      </c>
      <c r="B7" s="12">
        <v>112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6"/>
  <sheetViews>
    <sheetView workbookViewId="0">
      <selection activeCell="L8" sqref="L8"/>
    </sheetView>
  </sheetViews>
  <sheetFormatPr defaultRowHeight="14.5" x14ac:dyDescent="0.35"/>
  <cols>
    <col min="1" max="1" width="15.6328125" bestFit="1" customWidth="1"/>
    <col min="2" max="2" width="15.26953125" bestFit="1" customWidth="1"/>
  </cols>
  <sheetData>
    <row r="2" spans="1:2" x14ac:dyDescent="0.35">
      <c r="A2" s="10" t="s">
        <v>120</v>
      </c>
      <c r="B2" t="s">
        <v>130</v>
      </c>
    </row>
    <row r="3" spans="1:2" x14ac:dyDescent="0.35">
      <c r="A3" s="11" t="s">
        <v>125</v>
      </c>
      <c r="B3" s="12">
        <v>62</v>
      </c>
    </row>
    <row r="4" spans="1:2" x14ac:dyDescent="0.35">
      <c r="A4" s="11" t="s">
        <v>126</v>
      </c>
      <c r="B4" s="12">
        <v>18</v>
      </c>
    </row>
    <row r="5" spans="1:2" x14ac:dyDescent="0.35">
      <c r="A5" s="11" t="s">
        <v>127</v>
      </c>
      <c r="B5" s="12">
        <v>32</v>
      </c>
    </row>
    <row r="6" spans="1:2" x14ac:dyDescent="0.35">
      <c r="A6" s="11" t="s">
        <v>122</v>
      </c>
      <c r="B6" s="12">
        <v>112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C13" sqref="C13"/>
    </sheetView>
  </sheetViews>
  <sheetFormatPr defaultRowHeight="14.5" x14ac:dyDescent="0.35"/>
  <cols>
    <col min="1" max="1" width="15.6328125" bestFit="1" customWidth="1"/>
    <col min="2" max="2" width="16.36328125" bestFit="1" customWidth="1"/>
    <col min="3" max="3" width="17.7265625" bestFit="1" customWidth="1"/>
  </cols>
  <sheetData>
    <row r="3" spans="1:3" x14ac:dyDescent="0.35">
      <c r="A3" s="10" t="s">
        <v>120</v>
      </c>
      <c r="B3" t="s">
        <v>128</v>
      </c>
      <c r="C3" t="s">
        <v>129</v>
      </c>
    </row>
    <row r="4" spans="1:3" x14ac:dyDescent="0.35">
      <c r="A4" s="11" t="s">
        <v>125</v>
      </c>
      <c r="B4" s="12">
        <v>3.7096774193548412</v>
      </c>
      <c r="C4" s="12">
        <v>0.48317809166416531</v>
      </c>
    </row>
    <row r="5" spans="1:3" x14ac:dyDescent="0.35">
      <c r="A5" s="11" t="s">
        <v>126</v>
      </c>
      <c r="B5" s="12">
        <v>3.7833333333333323</v>
      </c>
      <c r="C5" s="12">
        <v>7.227592305560436E-2</v>
      </c>
    </row>
    <row r="6" spans="1:3" x14ac:dyDescent="0.35">
      <c r="A6" s="11" t="s">
        <v>127</v>
      </c>
      <c r="B6" s="12">
        <v>4.1437500000000007</v>
      </c>
      <c r="C6" s="12">
        <v>0.30818155449324991</v>
      </c>
    </row>
    <row r="7" spans="1:3" x14ac:dyDescent="0.35">
      <c r="A7" s="11" t="s">
        <v>122</v>
      </c>
      <c r="B7" s="12">
        <v>3.8455357142857181</v>
      </c>
      <c r="C7" s="12">
        <v>0.367141232517528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Top_Bottom5highestratedproducts</vt:lpstr>
      <vt:lpstr>AvgReview &amp; AvgRatings</vt:lpstr>
      <vt:lpstr>Excel_jumia</vt:lpstr>
      <vt:lpstr>Dashboard</vt:lpstr>
      <vt:lpstr>DataDashboard</vt:lpstr>
      <vt:lpstr>Discount against Reviews</vt:lpstr>
      <vt:lpstr>Ratings against Reviews</vt:lpstr>
      <vt:lpstr>ProductCnt_RatingCategory</vt:lpstr>
      <vt:lpstr>ProductsbyDiscountCategory</vt:lpstr>
      <vt:lpstr>AvgRating&amp;Discount-DiscountCgry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2026-01-26T10:58:20Z</dcterms:created>
  <dcterms:modified xsi:type="dcterms:W3CDTF">2026-02-02T21:13:57Z</dcterms:modified>
</cp:coreProperties>
</file>